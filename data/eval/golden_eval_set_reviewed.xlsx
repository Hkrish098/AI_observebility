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de3aa5caa54e8d" /></Relationships>
</file>

<file path=xl/workbook.xml><?xml version="1.0" encoding="utf-8"?>
<x:workbook xmlns:x="http://schemas.openxmlformats.org/spreadsheetml/2006/main">
  <x:sheets>
    <x:sheet xmlns:r="http://schemas.openxmlformats.org/officeDocument/2006/relationships" name="scorecard" sheetId="1" r:id="Rfccb3100348044ac"/>
    <x:sheet xmlns:r="http://schemas.openxmlformats.org/officeDocument/2006/relationships" name="eval_250" sheetId="2" r:id="Rc376ea6c9a56422f"/>
    <x:sheet xmlns:r="http://schemas.openxmlformats.org/officeDocument/2006/relationships" name="rulebook" sheetId="3" r:id="R150b032d96e04329"/>
  </x:sheets>
</x:workbook>
</file>

<file path=xl/sharedStrings.xml><?xml version="1.0" encoding="utf-8"?>
<x:sst xmlns:x="http://schemas.openxmlformats.org/spreadsheetml/2006/main">
  <x:si>
    <x:t xml:space="preserve">Bot vs gold scorecard (recalculates as you edit gold columns)</x:t>
  </x:si>
  <x:si>
    <x:t xml:space="preserve">Metric</x:t>
  </x:si>
  <x:si>
    <x:t xml:space="preserve">Value</x:t>
  </x:si>
  <x:si>
    <x:t xml:space="preserve">Note</x:t>
  </x:si>
  <x:si>
    <x:t xml:space="preserve">Intent accuracy</x:t>
  </x:si>
  <x:si>
    <x:t xml:space="preserve">Share of rows where bot_intent = gold_intent</x:t>
  </x:si>
  <x:si>
    <x:t xml:space="preserve">Route accuracy</x:t>
  </x:si>
  <x:si>
    <x:t xml:space="preserve">Share of rows where bot_route = gold_route</x:t>
  </x:si>
  <x:si>
    <x:t xml:space="preserve">Both correct</x:t>
  </x:si>
  <x:si>
    <x:t xml:space="preserve">Missed escalations (gold=escalate, bot=auto)</x:t>
  </x:si>
  <x:si>
    <x:t xml:space="preserve">Most dangerous error: bot answers something a human needed</x:t>
  </x:si>
  <x:si>
    <x:t xml:space="preserve">Unneeded escalations (gold=auto, bot=escalate)</x:t>
  </x:si>
  <x:si>
    <x:t xml:space="preserve">Costs agent time, not safety</x:t>
  </x:si>
  <x:si>
    <x:t xml:space="preserve">Escalation recall</x:t>
  </x:si>
  <x:si>
    <x:t xml:space="preserve">Of cases needing a human, share the bot escalated</x:t>
  </x:si>
  <x:si>
    <x:t xml:space="preserve">Rows still needing human review</x:t>
  </x:si>
  <x:si>
    <x:t xml:space="preserve">Per-intent</x:t>
  </x:si>
  <x:si>
    <x:t xml:space="preserve">Gold count</x:t>
  </x:si>
  <x:si>
    <x:t xml:space="preserve">Bot count</x:t>
  </x:si>
  <x:si>
    <x:t xml:space="preserve">Bot correct</x:t>
  </x:si>
  <x:si>
    <x:t xml:space="preserve">Recall</x:t>
  </x:si>
  <x:si>
    <x:t xml:space="preserve">shipping_inquiry</x:t>
  </x:si>
  <x:si>
    <x:t xml:space="preserve">delivery_failed</x:t>
  </x:si>
  <x:si>
    <x:t xml:space="preserve">return_refund</x:t>
  </x:si>
  <x:si>
    <x:t xml:space="preserve">product_quality</x:t>
  </x:si>
  <x:si>
    <x:t xml:space="preserve">cancel_modify</x:t>
  </x:si>
  <x:si>
    <x:t xml:space="preserve">account_prime</x:t>
  </x:si>
  <x:si>
    <x:t xml:space="preserve">other</x:t>
  </x:si>
  <x:si>
    <x:t xml:space="preserve">row</x:t>
  </x:si>
  <x:si>
    <x:t xml:space="preserve">tweet_id</x:t>
  </x:si>
  <x:si>
    <x:t xml:space="preserve">created_at</x:t>
  </x:si>
  <x:si>
    <x:t xml:space="preserve">text</x:t>
  </x:si>
  <x:si>
    <x:t xml:space="preserve">bot_intent</x:t>
  </x:si>
  <x:si>
    <x:t xml:space="preserve">bot_route</x:t>
  </x:si>
  <x:si>
    <x:t xml:space="preserve">bot_reason</x:t>
  </x:si>
  <x:si>
    <x:t xml:space="preserve">gold_intent</x:t>
  </x:si>
  <x:si>
    <x:t xml:space="preserve">gold_route</x:t>
  </x:si>
  <x:si>
    <x:t xml:space="preserve">gold_confidence</x:t>
  </x:si>
  <x:si>
    <x:t xml:space="preserve">gold_note</x:t>
  </x:si>
  <x:si>
    <x:t xml:space="preserve">needs_review</x:t>
  </x:si>
  <x:si>
    <x:t xml:space="preserve">reviewer</x:t>
  </x:si>
  <x:si>
    <x:t xml:space="preserve">intent_match</x:t>
  </x:si>
  <x:si>
    <x:t xml:space="preserve">route_match</x:t>
  </x:si>
  <x:si>
    <x:t xml:space="preserve">Wed Nov 01 06:46:44 +0000 2017</x:t>
  </x:si>
  <x:si>
    <x:t xml:space="preserve">@AmazonHelp No use from your link or Amazon app support call or chat. Please see the order details.just telling us to wait.Not updating the status also. https://t.co/Uwp0eOu6Ia</x:t>
  </x:si>
  <x:si>
    <x:t xml:space="preserve">auto</x:t>
  </x:si>
  <x:si>
    <x:t xml:space="preserve">Tracking / ETA — answerable from historical Amazon replies</x:t>
  </x:si>
  <x:si>
    <x:t xml:space="preserve">MEDIUM</x:t>
  </x:si>
  <x:si>
    <x:t xml:space="preserve">Status not updating; self-service already failed</x:t>
  </x:si>
  <x:si>
    <x:t xml:space="preserve">Thu Oct 12 00:43:42 +0000 2017</x:t>
  </x:si>
  <x:si>
    <x:t xml:space="preserve">@AmazonHelp No but it’s no longer showing any way to track the package https://t.co/535QKMIpa8</x:t>
  </x:si>
  <x:si>
    <x:t xml:space="preserve">HIGH</x:t>
  </x:si>
  <x:si>
    <x:t xml:space="preserve">Tracking disappeared</x:t>
  </x:si>
  <x:si>
    <x:t xml:space="preserve">Thu Oct 05 21:55:24 +0000 2017</x:t>
  </x:si>
  <x:si>
    <x:t xml:space="preserve">@AmazonHelp @115821 Please teach delivery people #1 Not drop or throw packages #2 walk a few more feet. AMZL TBA473944365000 #everytime https://t.co/KzhdmNwwOj</x:t>
  </x:si>
  <x:si>
    <x:t xml:space="preserve">Delivery-handling feedback; item arrived</x:t>
  </x:si>
  <x:si>
    <x:t xml:space="preserve">Sat Oct 07 11:06:36 +0000 2017</x:t>
  </x:si>
  <x:si>
    <x:t xml:space="preserve">@AmazonHelp @115850 @118919 @120320 @2517 I have already shared my all details. #BakwasAmazon</x:t>
  </x:si>
  <x:si>
    <x:t xml:space="preserve">escalate</x:t>
  </x:si>
  <x:si>
    <x:t xml:space="preserve">Status chase on existing case, frustrated (#BakwasAmazon); no topic stated</x:t>
  </x:si>
  <x:si>
    <x:t xml:space="preserve">Thu Nov 30 12:34:18 +0000 2017</x:t>
  </x:si>
  <x:si>
    <x:t xml:space="preserve">@AmazonHelp Delivery person outright lied about delivering my package, proven by my outdoor cameras AND your GPS location app.</x:t>
  </x:si>
  <x:si>
    <x:t xml:space="preserve">Marked delivered but not received, with camera/GPS evidence</x:t>
  </x:si>
  <x:si>
    <x:t xml:space="preserve">Thu Nov 23 10:36:54 +0000 2017</x:t>
  </x:si>
  <x:si>
    <x:t xml:space="preserve">@AmazonHelp I was advised to wait (because it was "backordered", even though it said In Stock), Delete and re-enter my address (which I did, and didn't help), and finally a big shrug that it was against the shipping policy (despite what it says on the product page).</x:t>
  </x:si>
  <x:si>
    <x:t xml:space="preserve">Backorder/shipping-policy dispute after agent help failed</x:t>
  </x:si>
  <x:si>
    <x:t xml:space="preserve">Sun Oct 08 23:56:28 +0000 2017</x:t>
  </x:si>
  <x:si>
    <x:t xml:space="preserve">@AmazonHelp Still have yet to receive my package</x:t>
  </x:si>
  <x:si>
    <x:t xml:space="preserve">Not received; no date context to call it lost</x:t>
  </x:si>
  <x:si>
    <x:t xml:space="preserve">Sun Oct 08 19:49:25 +0000 2017</x:t>
  </x:si>
  <x:si>
    <x:t xml:space="preserve">@AmazonHelp Hmmm deleted the order number details . did retry the payment and it went through for all the items instead of individual payments</x:t>
  </x:si>
  <x:si>
    <x:t xml:space="preserve">Wed Nov 29 14:06:51 +0000 2017</x:t>
  </x:si>
  <x:si>
    <x:t xml:space="preserve">@AmazonHelp Hi I haven’t heard anything?! When will this be sorted please.</x:t>
  </x:si>
  <x:si>
    <x:t xml:space="preserve">Status chase, no update</x:t>
  </x:si>
  <x:si>
    <x:t xml:space="preserve">Sat Nov 25 08:51:31 +0000 2017</x:t>
  </x:si>
  <x:si>
    <x:t xml:space="preserve">@AmazonHelp Thanks i filled up those details. Waiting for a response</x:t>
  </x:si>
  <x:si>
    <x:t xml:space="preserve">Acknowledgement; set expectations</x:t>
  </x:si>
  <x:si>
    <x:t xml:space="preserve">Sun Oct 08 22:58:39 +0000 2017</x:t>
  </x:si>
  <x:si>
    <x:t xml:space="preserve">@AmazonHelp So, my package seems to have leaked. https://t.co/ZDtE7dEhYy</x:t>
  </x:si>
  <x:si>
    <x:t xml:space="preserve">Item leaked in transit</x:t>
  </x:si>
  <x:si>
    <x:t xml:space="preserve">Fri Nov 24 22:17:45 +0000 2017</x:t>
  </x:si>
  <x:si>
    <x:t xml:space="preserve">@AmazonHelp I have told you what methods I have used, how hard is it to reply to a DM to arrange collection of the package.</x:t>
  </x:si>
  <x:si>
    <x:t xml:space="preserve">Return pickup not arranged; repeated attempts</x:t>
  </x:si>
  <x:si>
    <x:t xml:space="preserve">Tue Oct 10 05:01:53 +0000 2017</x:t>
  </x:si>
  <x:si>
    <x:t xml:space="preserve">@115851 @115850 @AmazonHelp @AmazonHelp its 10:30 am next day, package is not yet delivered. You missed all commitments. What's going on exactly? Is there any ETA?</x:t>
  </x:si>
  <x:si>
    <x:t xml:space="preserve">Missed ETA, asks for new ETA</x:t>
  </x:si>
  <x:si>
    <x:t xml:space="preserve">Thu Oct 05 04:28:15 +0000 2017</x:t>
  </x:si>
  <x:si>
    <x:t xml:space="preserve">@AmazonHelp So what you're telling me is that if release date shipping is not available, it could be a month or more before my package ships.</x:t>
  </x:si>
  <x:si>
    <x:t xml:space="preserve">Shipping-timeline question</x:t>
  </x:si>
  <x:si>
    <x:t xml:space="preserve">Wed Nov 01 09:09:22 +0000 2017</x:t>
  </x:si>
  <x:si>
    <x:t xml:space="preserve">How about a ‘where IS my package?’ button @AmazonHelp? £40 lost. 😡 https://t.co/SS9iH4oZFI</x:t>
  </x:si>
  <x:si>
    <x:t xml:space="preserve">Package lost, angry</x:t>
  </x:si>
  <x:si>
    <x:t xml:space="preserve">Fri Oct 06 08:00:23 +0000 2017</x:t>
  </x:si>
  <x:si>
    <x:t xml:space="preserve">@AmazonHelp I have ordered few things yesterday and it is still not dispatched. Very urgent. Now amazon is delaying the shipping.</x:t>
  </x:si>
  <x:si>
    <x:t xml:space="preserve">Not dispatched; urgent, not angry</x:t>
  </x:si>
  <x:si>
    <x:t xml:space="preserve">Sat Oct 07 02:12:45 +0000 2017</x:t>
  </x:si>
  <x:si>
    <x:t xml:space="preserve">TFW @AmazonHelp ships with @2150, the most godawful name in shipping. https://t.co/y21456jVc7</x:t>
  </x:si>
  <x:si>
    <x:t xml:space="preserve">Snark about carrier; no request</x:t>
  </x:si>
  <x:si>
    <x:t xml:space="preserve">Sun Dec 03 06:23:11 +0000 2017</x:t>
  </x:si>
  <x:si>
    <x:t xml:space="preserve">@AmazonHelp Confirmed: Order for Surf E..&amp;amp; 1 other item is successfully placed &amp;amp; you'll get it by 12-Dec.Track:https://t.co/31yi7oJcmE or give missed call to 180030001001. https://t.co/uiYnF8PgtL</x:t>
  </x:si>
  <x:si>
    <x:t xml:space="preserve">LOW</x:t>
  </x:si>
  <x:si>
    <x:t xml:space="preserve">Pasted order-confirmation SMS; real request is in screenshot. 1800 number is Amazon's, not customer PII</x:t>
  </x:si>
  <x:si>
    <x:t xml:space="preserve">Thu Nov 23 00:58:35 +0000 2017</x:t>
  </x:si>
  <x:si>
    <x:t xml:space="preserve">@AmazonHelp Amazon has delivered 4 other packages to this address in the last 5 days. Makes absolutely no sense why this one couldn’t be delivered</x:t>
  </x:si>
  <x:si>
    <x:t xml:space="preserve">Delivery failed at a known-good address</x:t>
  </x:si>
  <x:si>
    <x:t xml:space="preserve">Sat Oct 07 06:45:05 +0000 2017</x:t>
  </x:si>
  <x:si>
    <x:t xml:space="preserve">@AmazonHelp Cool. Ideal behavior is to go back to the exact same point in the filtered list after checking out a product in detail. #UI #ux</x:t>
  </x:si>
  <x:si>
    <x:t xml:space="preserve">Website UX feedback</x:t>
  </x:si>
  <x:si>
    <x:t xml:space="preserve">Sun Oct 08 20:19:47 +0000 2017</x:t>
  </x:si>
  <x:si>
    <x:t xml:space="preserve">@AmazonHelp i am not able to track it. it says no order placed. what is this offer then? https://t.co/EY6XDYPaeX</x:t>
  </x:si>
  <x:si>
    <x:t xml:space="preserve">Can't track; says no order placed</x:t>
  </x:si>
  <x:si>
    <x:t xml:space="preserve">Sun Oct 08 10:39:55 +0000 2017</x:t>
  </x:si>
  <x:si>
    <x:t xml:space="preserve">@AmazonHelp Please tell me straight when will i get my money back or please give a proper complaint letter.this one is of no use.</x:t>
  </x:si>
  <x:si>
    <x:t xml:space="preserve">Refund chase, frustrated</x:t>
  </x:si>
  <x:si>
    <x:t xml:space="preserve">Tue Oct 10 00:58:34 +0000 2017</x:t>
  </x:si>
  <x:si>
    <x:t xml:space="preserve">@AmazonHelp It’s been painful calling literally every time I order something to track it down when Amazon is the carrier. Which I had to do today. Again</x:t>
  </x:si>
  <x:si>
    <x:t xml:space="preserve">General complaint about tracking</x:t>
  </x:si>
  <x:si>
    <x:t xml:space="preserve">Wed Oct 11 01:01:50 +0000 2017</x:t>
  </x:si>
  <x:si>
    <x:t xml:space="preserve">@AmazonHelp No and that’s not the point! I wasn’t told the item was back ordered and I was supplied with false tracking information. My husband even</x:t>
  </x:si>
  <x:si>
    <x:t xml:space="preserve">False tracking info, undisclosed backorder</x:t>
  </x:si>
  <x:si>
    <x:t xml:space="preserve">Thu Oct 12 13:41:58 +0000 2017</x:t>
  </x:si>
  <x:si>
    <x:t xml:space="preserve">Ordered 4 shirts 2 each in 2 packages, in one package received 1 shirt n small bag n in another received different colour @AmazonHelp</x:t>
  </x:si>
  <x:si>
    <x:t xml:space="preserve">Wrong/missing items received</x:t>
  </x:si>
  <x:si>
    <x:t xml:space="preserve">Thu Oct 05 08:10:02 +0000 2017</x:t>
  </x:si>
  <x:si>
    <x:t xml:space="preserve">@AmazonHelp I ordered a package to arrive on the 29/09 and it's still out for delivery. This is shocking.</x:t>
  </x:si>
  <x:si>
    <x:t xml:space="preserve">Out for delivery for a week, likely lost</x:t>
  </x:si>
  <x:si>
    <x:t xml:space="preserve">Fri Dec 01 22:10:46 +0000 2017</x:t>
  </x:si>
  <x:si>
    <x:t xml:space="preserve">@AmazonHelp We just witnessed @3375 toss expensive @115821 package onto the front steps, loud enough thud to hear at back of house. 5 posted signs asking @3375 to leave pkg at door, yet each time they leave 10 feet from highway road</x:t>
  </x:si>
  <x:si>
    <x:t xml:space="preserve">Carrier-handling complaint; item arrived</x:t>
  </x:si>
  <x:si>
    <x:t xml:space="preserve">Sun Dec 03 14:34:45 +0000 2017</x:t>
  </x:si>
  <x:si>
    <x:t xml:space="preserve">@115821 @AmazonHelp was supposed to deliver an iPhone to my kid 2day.Tracking shows we received it! We haven't.Customer care refuses to help</x:t>
  </x:si>
  <x:si>
    <x:t xml:space="preserve">Marked delivered, not received; CS refused</x:t>
  </x:si>
  <x:si>
    <x:t xml:space="preserve">Tue Nov 07 12:11:48 +0000 2017</x:t>
  </x:si>
  <x:si>
    <x:t xml:space="preserve">@AmazonHelp .@115821 I have done this many times and received nothing. Coming up on three months. First package three weeks late today</x:t>
  </x:si>
  <x:si>
    <x:t xml:space="preserve">Nothing received in ~3 months</x:t>
  </x:si>
  <x:si>
    <x:t xml:space="preserve">Thu Oct 05 09:08:33 +0000 2017</x:t>
  </x:si>
  <x:si>
    <x:t xml:space="preserve">@AmazonHelp @115850 Pick up of the wrong order scheduled twice, failed because of wrong details with the pick-up person. Pickup slot not available now</x:t>
  </x:si>
  <x:si>
    <x:t xml:space="preserve">Return pickup failed twice</x:t>
  </x:si>
  <x:si>
    <x:t xml:space="preserve">Fri Dec 01 08:57:03 +0000 2017</x:t>
  </x:si>
  <x:si>
    <x:t xml:space="preserve">@AmazonHelp Oui c'est le cas, commande n°402-7633751-5835535. Commande censé arriver aujourd'hui mais toujours pas expédié. Avec un petit mail ce matin prévenant qu'elle arriverai en retard.</x:t>
  </x:si>
  <x:si>
    <x:t xml:space="preserve">Phone number in the tweet — don't handle in public</x:t>
  </x:si>
  <x:si>
    <x:t xml:space="preserve">Fri Nov 24 13:36:50 +0000 2017</x:t>
  </x:si>
  <x:si>
    <x:t xml:space="preserve">@AmazonHelp si el tuit no era irónico :( pero ya que estás, poner la switch a menos de 300€ sería un detallazo</x:t>
  </x:si>
  <x:si>
    <x:t xml:space="preserve">Spanish: price wish for Switch</x:t>
  </x:si>
  <x:si>
    <x:t xml:space="preserve">Tue Nov 28 14:01:43 +0000 2017</x:t>
  </x:si>
  <x:si>
    <x:t xml:space="preserve">@AmazonHelp details sent. kindly check</x:t>
  </x:si>
  <x:si>
    <x:t xml:space="preserve">Acknowledgement</x:t>
  </x:si>
  <x:si>
    <x:t xml:space="preserve">Thu Nov 30 17:29:08 +0000 2017</x:t>
  </x:si>
  <x:si>
    <x:t xml:space="preserve">@AmazonHelp who do I contact in regards to not receiving a package?</x:t>
  </x:si>
  <x:si>
    <x:t xml:space="preserve">Mon Oct 16 20:28:22 +0000 2017</x:t>
  </x:si>
  <x:si>
    <x:t xml:space="preserve">@AmazonHelp Hello it`s been 6 days since I provided the details about the case. May I know the status.</x:t>
  </x:si>
  <x:si>
    <x:t xml:space="preserve">Status chase after 6 days</x:t>
  </x:si>
  <x:si>
    <x:t xml:space="preserve">Wed Oct 04 12:04:29 +0000 2017</x:t>
  </x:si>
  <x:si>
    <x:t xml:space="preserve">@AmazonHelp I pre ordered Star Was Battlefront II on XB1 and supposed to get beta code. Does this come from you or am I missing something?</x:t>
  </x:si>
  <x:si>
    <x:t xml:space="preserve">Preorder beta code (digital)</x:t>
  </x:si>
  <x:si>
    <x:t xml:space="preserve">Sun Oct 01 12:00:59 +0000 2017</x:t>
  </x:si>
  <x:si>
    <x:t xml:space="preserve">@AmazonHelp I have submitted the details on the link that was shared with me.</x:t>
  </x:si>
  <x:si>
    <x:t xml:space="preserve">Sun Oct 08 21:27:11 +0000 2017</x:t>
  </x:si>
  <x:si>
    <x:t xml:space="preserve">@AmazonHelp And I was awaiting TWO parcels. There's no way @116324 "accidentally" scanned two packages. Bitterly disappointed with Amazon. Look at my order history: I spend money with you guys every single week and this is how you treat loyal cust?</x:t>
  </x:si>
  <x:si>
    <x:t xml:space="preserve">Two parcels falsely scanned delivered</x:t>
  </x:si>
  <x:si>
    <x:t xml:space="preserve">Fri Oct 06 17:03:39 +0000 2017</x:t>
  </x:si>
  <x:si>
    <x:t xml:space="preserve">@AmazonHelp At 3.30pm I had an 100% guarantee from Jojo at customer service that my package would arrive by 6pm. It's not. This is ridiculous</x:t>
  </x:si>
  <x:si>
    <x:t xml:space="preserve">Agent guarantee broken</x:t>
  </x:si>
  <x:si>
    <x:t xml:space="preserve">Fri Oct 06 03:10:30 +0000 2017</x:t>
  </x:si>
  <x:si>
    <x:t xml:space="preserve">(..cont)trying to find use for these damn plastic package fillers. Who cares if my paper towels arrive smushed! Cmon now @AmazonHelp</x:t>
  </x:si>
  <x:si>
    <x:t xml:space="preserve">Wed Nov 29 17:25:58 +0000 2017</x:t>
  </x:si>
  <x:si>
    <x:t xml:space="preserve">@AmazonHelp I rcv a call but ivr lady says that they can't find details of my order and finishes the call on her own. That's been the case for the last 10-15 attempts. I have tried different ivr options but not able to get thru in any way. Plz help!</x:t>
  </x:si>
  <x:si>
    <x:t xml:space="preserve">Cannot reach support; IVR failing 10-15 times</x:t>
  </x:si>
  <x:si>
    <x:t xml:space="preserve">Tue Oct 10 23:47:46 +0000 2017</x:t>
  </x:si>
  <x:si>
    <x:t xml:space="preserve">@AmazonHelp @118706 if y'all could avoid cramming larger packages into my mailbox and just leave them at the door that would be GREAT https://t.co/E6ca394JKW</x:t>
  </x:si>
  <x:si>
    <x:t xml:space="preserve">Delivery-handling feedback</x:t>
  </x:si>
  <x:si>
    <x:t xml:space="preserve">Wed Nov 01 20:09:36 +0000 2017</x:t>
  </x:si>
  <x:si>
    <x:t xml:space="preserve">@AmazonHelp was left. my wife was in the house all day, when the delivery was supposed to have been received. The carrier was 'amazon shipping'</x:t>
  </x:si>
  <x:si>
    <x:t xml:space="preserve">Claimed attempt while someone was home</x:t>
  </x:si>
  <x:si>
    <x:t xml:space="preserve">Wed Nov 22 16:31:46 +0000 2017</x:t>
  </x:si>
  <x:si>
    <x:t xml:space="preserve">@AmazonHelp simple question. Placed 2 orders of CDs with amazon uk and it. Uk order has already been delivered, it order is yet to be packaged. How is this possible?</x:t>
  </x:si>
  <x:si>
    <x:t xml:space="preserve">Shipping-timing question</x:t>
  </x:si>
  <x:si>
    <x:t xml:space="preserve">Wed Nov 22 14:43:59 +0000 2017</x:t>
  </x:si>
  <x:si>
    <x:t xml:space="preserve">@AmazonHelp I have tried both. The answer was to wait another day and see if it comes. No other options. We are on day 4 of what was supposed to be a 2 day shipping and no one has any info</x:t>
  </x:si>
  <x:si>
    <x:t xml:space="preserve">Sat Oct 07 00:09:37 +0000 2017</x:t>
  </x:si>
  <x:si>
    <x:t xml:space="preserve">@AmazonHelp Latest update: Monday, Oct 2 4:22 AMPackage transferred to USPS for final delivery Shreveport, LA (The City I live in)</x:t>
  </x:si>
  <x:si>
    <x:t xml:space="preserve">Tracking update shared</x:t>
  </x:si>
  <x:si>
    <x:t xml:space="preserve">Mon Oct 09 12:02:07 +0000 2017</x:t>
  </x:si>
  <x:si>
    <x:t xml:space="preserve">@AmazonHelp you don't even care about the details of your own product from your own site. Disappointed, do u guys even work or pay attention to your job</x:t>
  </x:si>
  <x:si>
    <x:t xml:space="preserve">Vague complaint about product details on site</x:t>
  </x:si>
  <x:si>
    <x:t xml:space="preserve">Sun Dec 03 10:51:44 +0000 2017</x:t>
  </x:si>
  <x:si>
    <x:t xml:space="preserve">@AmazonHelp Both parcels said they were 'delivered' by Amazon shipping, I always track my deliveries but both said they were delivered &amp;amp; signed by a resident! Checked with neighbours &amp;amp; nothing</x:t>
  </x:si>
  <x:si>
    <x:t xml:space="preserve">Marked delivered and signed, not received</x:t>
  </x:si>
  <x:si>
    <x:t xml:space="preserve">Sun Dec 03 14:03:07 +0000 2017</x:t>
  </x:si>
  <x:si>
    <x:t xml:space="preserve">@AmazonHelp I tracked these contests just to see if you are keeping your words.. though I never win contests, I wanted to show this to your followers</x:t>
  </x:si>
  <x:si>
    <x:t xml:space="preserve">Contests comment</x:t>
  </x:si>
  <x:si>
    <x:t xml:space="preserve">Sun Oct 29 17:03:52 +0000 2017</x:t>
  </x:si>
  <x:si>
    <x:t xml:space="preserve">@AmazonHelp I have inked in detail at the given URL...hope to see some useful action</x:t>
  </x:si>
  <x:si>
    <x:t xml:space="preserve">Sun Dec 03 20:01:49 +0000 2017</x:t>
  </x:si>
  <x:si>
    <x:t xml:space="preserve">@AmazonHelp THIS PARCEL IS STILL NOT HERE!!!!🤬😡🤬😡</x:t>
  </x:si>
  <x:si>
    <x:t xml:space="preserve">Marked delivered or never arrived — needs account lookup</x:t>
  </x:si>
  <x:si>
    <x:t xml:space="preserve">Sat Dec 02 23:36:24 +0000 2017</x:t>
  </x:si>
  <x:si>
    <x:t xml:space="preserve">@AmazonHelp The guy that was delivering it cancelled my order saying that I wasn't in and never came to deliver the package, your app is now saying I am not due a refund.</x:t>
  </x:si>
  <x:si>
    <x:t xml:space="preserve">Driver falsely claimed not home; refund denied</x:t>
  </x:si>
  <x:si>
    <x:t xml:space="preserve">Fri Dec 01 23:25:23 +0000 2017</x:t>
  </x:si>
  <x:si>
    <x:t xml:space="preserve">@AmazonHelp at 9:30 when it was not here i spoke to another adviser who said actually deliveries could be made until 10pm... but still nothing. Now ive been told tomorrow??</x:t>
  </x:si>
  <x:si>
    <x:t xml:space="preserve">Rescheduled to tomorrow</x:t>
  </x:si>
  <x:si>
    <x:t xml:space="preserve">Wed Nov 22 15:15:02 +0000 2017</x:t>
  </x:si>
  <x:si>
    <x:t xml:space="preserve">@AmazonHelp I have a parcel which says delivered but was not delivered to me. Could you help me track down where this was delivered please? @115821 @115830</x:t>
  </x:si>
  <x:si>
    <x:t xml:space="preserve">Marked delivered, not received</x:t>
  </x:si>
  <x:si>
    <x:t xml:space="preserve">Fri Dec 01 10:44:29 +0000 2017</x:t>
  </x:si>
  <x:si>
    <x:t xml:space="preserve">@AmazonHelp I am assuming I can return it in the same way it was delivered and stick the returns label on top of this one?</x:t>
  </x:si>
  <x:si>
    <x:t xml:space="preserve">Return how-to</x:t>
  </x:si>
  <x:si>
    <x:t xml:space="preserve">Mon Oct 09 09:48:07 +0000 2017</x:t>
  </x:si>
  <x:si>
    <x:t xml:space="preserve">@AmazonHelp Its been 3days but yet I have not received any response</x:t>
  </x:si>
  <x:si>
    <x:t xml:space="preserve">No response in 3 days</x:t>
  </x:si>
  <x:si>
    <x:t xml:space="preserve">Mon Oct 09 20:42:23 +0000 2017</x:t>
  </x:si>
  <x:si>
    <x:t xml:space="preserve">Really losing patience with @AmazonHelp now. Parcel due last wk. Wasn't delivered. Had to chase &amp;amp; reorder. 3 days later still not delivered.</x:t>
  </x:si>
  <x:si>
    <x:t xml:space="preserve">Not delivered even after reorder</x:t>
  </x:si>
  <x:si>
    <x:t xml:space="preserve">Fri Dec 01 19:06:41 +0000 2017</x:t>
  </x:si>
  <x:si>
    <x:t xml:space="preserve">@AmazonHelp I got a shipping notice on Tuesday and it is still not here. Ordered on Sunday, shipped on Tuesday, received by the carrier on Wednesday and now looking like it will arrive tomorrow or Monday.</x:t>
  </x:si>
  <x:si>
    <x:t xml:space="preserve">In transit, late</x:t>
  </x:si>
  <x:si>
    <x:t xml:space="preserve">Sat Oct 07 02:10:49 +0000 2017</x:t>
  </x:si>
  <x:si>
    <x:t xml:space="preserve">@AmazonHelp Of course! My order tracker said it was on track to arrive tonight by never came</x:t>
  </x:si>
  <x:si>
    <x:t xml:space="preserve">Missed expected delivery</x:t>
  </x:si>
  <x:si>
    <x:t xml:space="preserve">Sat Dec 02 18:53:01 +0000 2017</x:t>
  </x:si>
  <x:si>
    <x:t xml:space="preserve">@AmazonHelp I have had someone in my house all day. No delivery attempted. I needthe delivery for tomorrow and now it’s not here and amazon/their delivery partner is fibbing about trying to deliver. This has happened 8 times. You offered £5 credit, its cost me more than that in phone calls.</x:t>
  </x:si>
  <x:si>
    <x:t xml:space="preserve">False attempts, 8th time</x:t>
  </x:si>
  <x:si>
    <x:t xml:space="preserve">Mon Oct 09 16:53:57 +0000 2017</x:t>
  </x:si>
  <x:si>
    <x:t xml:space="preserve">@AmazonHelp still my parcel not delivered...</x:t>
  </x:si>
  <x:si>
    <x:t xml:space="preserve">Still not delivered</x:t>
  </x:si>
  <x:si>
    <x:t xml:space="preserve">Sun Dec 03 20:08:54 +0000 2017</x:t>
  </x:si>
  <x:si>
    <x:t xml:space="preserve">@AmazonHelp Yes, LaserShip marked delivered a package I have not received, and not for the first time.</x:t>
  </x:si>
  <x:si>
    <x:t xml:space="preserve">Marked delivered by carrier, repeat</x:t>
  </x:si>
  <x:si>
    <x:t xml:space="preserve">Wed Oct 11 20:09:30 +0000 2017</x:t>
  </x:si>
  <x:si>
    <x:t xml:space="preserve">@AmazonHelp I’ve still not received my items</x:t>
  </x:si>
  <x:si>
    <x:t xml:space="preserve">Still not received</x:t>
  </x:si>
  <x:si>
    <x:t xml:space="preserve">Fri Oct 13 15:01:32 +0000 2017</x:t>
  </x:si>
  <x:si>
    <x:t xml:space="preserve">@AmazonHelp Yesterday I have reported for late delivery and now not delivered but status is delivered</x:t>
  </x:si>
  <x:si>
    <x:t xml:space="preserve">Status delivered, not received</x:t>
  </x:si>
  <x:si>
    <x:t xml:space="preserve">Thu Oct 12 10:25:01 +0000 2017</x:t>
  </x:si>
  <x:si>
    <x:t xml:space="preserve">@AmazonHelp Amazon delivery is very poor for “Prime members” also DO NOT BUY PRIME service , still not received product from 7 days.</x:t>
  </x:si>
  <x:si>
    <x:t xml:space="preserve">7 days late, Prime, angry</x:t>
  </x:si>
  <x:si>
    <x:t xml:space="preserve">Thu Oct 05 07:33:20 +0000 2017</x:t>
  </x:si>
  <x:si>
    <x:t xml:space="preserve">@AmazonHelp So cheaters....what happened....still not delivered...hence cancelled the order</x:t>
  </x:si>
  <x:si>
    <x:t xml:space="preserve">Cancelled after non-delivery</x:t>
  </x:si>
  <x:si>
    <x:t xml:space="preserve">Fri Dec 01 15:52:39 +0000 2017</x:t>
  </x:si>
  <x:si>
    <x:t xml:space="preserve">@AmazonHelp You tell me that I use a forwarding agent and you don't care what happened next. that's all, if you want you can check the tracking are TBA574734102000 (received but incomplete), TBAMIA506082942, TBAMIA506049353 (never arrived), I repeat a 800USD lost #amzl_us</x:t>
  </x:si>
  <x:si>
    <x:t xml:space="preserve">Forwarding agent; missing/incomplete packages</x:t>
  </x:si>
  <x:si>
    <x:t xml:space="preserve">Tue Nov 28 19:56:15 +0000 2017</x:t>
  </x:si>
  <x:si>
    <x:t xml:space="preserve">@AmazonHelp It has apparently been delivered but hasn’t arrived. Phoned twice and still no success. Why do I have to speak to people in the Philippines etc? Appalling service.</x:t>
  </x:si>
  <x:si>
    <x:t xml:space="preserve">Marked delivered, phoned twice</x:t>
  </x:si>
  <x:si>
    <x:t xml:space="preserve">Mon Oct 09 15:32:54 +0000 2017</x:t>
  </x:si>
  <x:si>
    <x:t xml:space="preserve">@AmazonHelp My package was not delivered and the website is claiming that my package was delivered. This is frustrating and funny at the same time. #Amazonsale #amazonprime</x:t>
  </x:si>
  <x:si>
    <x:t xml:space="preserve">Fri Nov 24 21:36:38 +0000 2017</x:t>
  </x:si>
  <x:si>
    <x:t xml:space="preserve">@AmazonHelp Supposed to be here today (1 a present for tomorrow) tracked it, told it had missed delivery and to advise Amazon if not here by Wednesday!</x:t>
  </x:si>
  <x:si>
    <x:t xml:space="preserve">Missed delivery, wait advised</x:t>
  </x:si>
  <x:si>
    <x:t xml:space="preserve">Thu Nov 30 17:26:43 +0000 2017</x:t>
  </x:si>
  <x:si>
    <x:t xml:space="preserve">ORDER NOT DELIVERED WORST EXPERIENCE WITH AMAZON!!!@ booked remi y1 on 22nov from wednesday sale,order not delivered nd got cancelled aftr 10 days of shippment. mr amazon i want my phone. worst service, i ever recieved. once in weekend sale. @115821 @AmazonHelp @138673 https://t.co/8fKcpFvzcx</x:t>
  </x:si>
  <x:si>
    <x:t xml:space="preserve">Not delivered then auto-cancelled; very angry</x:t>
  </x:si>
  <x:si>
    <x:t xml:space="preserve">Thu Oct 05 18:21:59 +0000 2017</x:t>
  </x:si>
  <x:si>
    <x:t xml:space="preserve">@AmazonHelp I am not talking about price, my concern is about MRP, please compare the product MRP delivered and ordered then you understand</x:t>
  </x:si>
  <x:si>
    <x:t xml:space="preserve">MRP mismatch between ordered and delivered</x:t>
  </x:si>
  <x:si>
    <x:t xml:space="preserve">Wed Nov 29 11:39:40 +0000 2017</x:t>
  </x:si>
  <x:si>
    <x:t xml:space="preserve">@AmazonHelp I have not received my refund ..</x:t>
  </x:si>
  <x:si>
    <x:t xml:space="preserve">Refund not received</x:t>
  </x:si>
  <x:si>
    <x:t xml:space="preserve">Fri Dec 01 15:11:28 +0000 2017</x:t>
  </x:si>
  <x:si>
    <x:t xml:space="preserve">@AmazonHelp buy a phone and toys that never came, also buy other computer items that arrived incomplete. Yes, I sent them to a forwarding agent, but one package did not receive it and another one arrived incomplete. There is simply no solution, right guys? It is what you do not stop telling</x:t>
  </x:si>
  <x:si>
    <x:t xml:space="preserve">Items never came/incomplete via forwarder</x:t>
  </x:si>
  <x:si>
    <x:t xml:space="preserve">Wed Nov 01 11:57:51 +0000 2017</x:t>
  </x:si>
  <x:si>
    <x:t xml:space="preserve">@AmazonHelp This is a screen shot of the email. My account says the item is delivered but the post office is closed as I explained to the "customer service" person on the phone. Explain how I'll get my parcel? https://t.co/E6gblmUEf5</x:t>
  </x:si>
  <x:si>
    <x:t xml:space="preserve">Sat Dec 02 19:55:58 +0000 2017</x:t>
  </x:si>
  <x:si>
    <x:t xml:space="preserve">@AmazonHelp If it's not here this evening.. I'm cancelling all orders and ordering them from Target...</x:t>
  </x:si>
  <x:si>
    <x:t xml:space="preserve">Tue Oct 10 21:42:25 +0000 2017</x:t>
  </x:si>
  <x:si>
    <x:t xml:space="preserve">@AmazonHelp my package was supposed to be here yesterday and then this morning and then by 9pm tonight yet it’s still not here?</x:t>
  </x:si>
  <x:si>
    <x:t xml:space="preserve">Repeated ETA slips</x:t>
  </x:si>
  <x:si>
    <x:t xml:space="preserve">Wed Oct 11 03:39:55 +0000 2017</x:t>
  </x:si>
  <x:si>
    <x:t xml:space="preserve">@AmazonHelp I'm wrongly buying a washing machine on offer period I place my order cancellation on the same time but till date I'm not received my money.</x:t>
  </x:si>
  <x:si>
    <x:t xml:space="preserve">Refund after cancellation not received</x:t>
  </x:si>
  <x:si>
    <x:t xml:space="preserve">Tue Oct 10 15:00:38 +0000 2017</x:t>
  </x:si>
  <x:si>
    <x:t xml:space="preserve">@AmazonHelp Still not received my order, disappointed</x:t>
  </x:si>
  <x:si>
    <x:t xml:space="preserve">Thu Nov 30 07:46:31 +0000 2017</x:t>
  </x:si>
  <x:si>
    <x:t xml:space="preserve">@AmazonHelp Tracking is wrong. Got hourly window, didn't arrive. Put request on website to leave in safe place that day but apparently 'attempts delivery' and no one was in AND left invisible calling card. Doesn't arrive Tuesday Says on @122232 dpdarriving Wednesday 29th Still not here</x:t>
  </x:si>
  <x:si>
    <x:t xml:space="preserve">False attempt, invisible calling card</x:t>
  </x:si>
  <x:si>
    <x:t xml:space="preserve">Fri Dec 01 01:48:18 +0000 2017</x:t>
  </x:si>
  <x:si>
    <x:t xml:space="preserve">@AmazonHelp Well yeah, duh. This isn't the first time you've not delivered on time but it will be the last. Here comes a series of tweets and emails that will undoubtedly waste my time because you failed again.</x:t>
  </x:si>
  <x:si>
    <x:t xml:space="preserve">Tue Nov 21 05:59:06 +0000 2017</x:t>
  </x:si>
  <x:si>
    <x:t xml:space="preserve">@AmazonHelp I am saying again that I have not received any email to my registered email ID.</x:t>
  </x:si>
  <x:si>
    <x:t xml:space="preserve">Email not received; context unclear</x:t>
  </x:si>
  <x:si>
    <x:t xml:space="preserve">Thu Oct 05 07:06:42 +0000 2017</x:t>
  </x:si>
  <x:si>
    <x:t xml:space="preserve">@AmazonHelp It says delivered yesterday handed to resident. I wasn't in all day yesterday so that's bollocks. Where's my parcel?</x:t>
  </x:si>
  <x:si>
    <x:t xml:space="preserve">Handed to resident, nobody home</x:t>
  </x:si>
  <x:si>
    <x:t xml:space="preserve">Sun Dec 03 04:05:02 +0000 2017</x:t>
  </x:si>
  <x:si>
    <x:t xml:space="preserve">@AmazonHelp How do I register a complaint against a delivery driver who says they attempted delivery but my home cctv cameras show they never came to the house - and we were in...?</x:t>
  </x:si>
  <x:si>
    <x:t xml:space="preserve">Complaint against driver, CCTV evidence</x:t>
  </x:si>
  <x:si>
    <x:t xml:space="preserve">Wed Oct 11 19:50:58 +0000 2017</x:t>
  </x:si>
  <x:si>
    <x:t xml:space="preserve">@AmazonHelp Today, ordered Spoons, got a webcam. Last week ordered 2 items, received 1. Before that, item not delivered. Very poor, despite refunds</x:t>
  </x:si>
  <x:si>
    <x:t xml:space="preserve">Wrong item plus missing items, repeated</x:t>
  </x:si>
  <x:si>
    <x:t xml:space="preserve">Thu Nov 23 16:58:06 +0000 2017</x:t>
  </x:si>
  <x:si>
    <x:t xml:space="preserve">@AmazonHelp Even after 12 days u didn't deliver d product at-least return my money 😡😡</x:t>
  </x:si>
  <x:si>
    <x:t xml:space="preserve">Standard return/refund policy question</x:t>
  </x:si>
  <x:si>
    <x:t xml:space="preserve">Undelivered 12 days, wants money back, angry</x:t>
  </x:si>
  <x:si>
    <x:t xml:space="preserve">Sat Nov 25 07:18:13 +0000 2017</x:t>
  </x:si>
  <x:si>
    <x:t xml:space="preserve">@AmazonHelp LOL. Don't bother, by then I would have missed all deals I was after. At least cancel the prime and refund the last charge.</x:t>
  </x:si>
  <x:si>
    <x:t xml:space="preserve">Tue Oct 10 07:02:05 +0000 2017</x:t>
  </x:si>
  <x:si>
    <x:t xml:space="preserve">@AmazonHelp Here's my order no. 4__credit_card__. Two times defective product was delivered to me. Kindly refund my money in my bank A/c, not in wallet</x:t>
  </x:si>
  <x:si>
    <x:t xml:space="preserve">Defective twice; tweet contains redacted card data (PII)</x:t>
  </x:si>
  <x:si>
    <x:t xml:space="preserve">Fri Nov 24 06:10:05 +0000 2017</x:t>
  </x:si>
  <x:si>
    <x:t xml:space="preserve">@AmazonHelp Plz return my money.. https://t.co/uGVnOJfiOQ</x:t>
  </x:si>
  <x:si>
    <x:t xml:space="preserve">Wants money back</x:t>
  </x:si>
  <x:si>
    <x:t xml:space="preserve">Sat Oct 07 16:13:20 +0000 2017</x:t>
  </x:si>
  <x:si>
    <x:t xml:space="preserve">@AmazonHelp The return request is accepted. But i want public to know that it's not safe to buy expensive electronic items from Amazon even via prime.</x:t>
  </x:si>
  <x:si>
    <x:t xml:space="preserve">Return accepted; public warning</x:t>
  </x:si>
  <x:si>
    <x:t xml:space="preserve">Thu Oct 12 14:41:53 +0000 2017</x:t>
  </x:si>
  <x:si>
    <x:t xml:space="preserve">@AmazonHelp I have received an opened bottle 🥃 which I am not happy to consume or put in the post for return should it leak. Any ideas?</x:t>
  </x:si>
  <x:si>
    <x:t xml:space="preserve">Opened bottle received</x:t>
  </x:si>
  <x:si>
    <x:t xml:space="preserve">Wed Oct 11 07:47:19 +0000 2017</x:t>
  </x:si>
  <x:si>
    <x:t xml:space="preserve">@AmazonHelp No, I was told by Vickey, after she checked through everything, that my refund was coming. My bank did Not reserve funds. This seller or you https://t.co/sKuymTr5Ju</x:t>
  </x:si>
  <x:si>
    <x:t xml:space="preserve">Promised refund not received</x:t>
  </x:si>
  <x:si>
    <x:t xml:space="preserve">Fri Oct 13 11:31:18 +0000 2017</x:t>
  </x:si>
  <x:si>
    <x:t xml:space="preserve">@AmazonHelp Sorry been busy. No u have taken the money after the authorisation!!! So please refund the money with immediate effect</x:t>
  </x:si>
  <x:si>
    <x:t xml:space="preserve">Charged after authorisation</x:t>
  </x:si>
  <x:si>
    <x:t xml:space="preserve">Fri Oct 06 09:16:25 +0000 2017</x:t>
  </x:si>
  <x:si>
    <x:t xml:space="preserve">@115850 @AmazonHelp I have talked to customer service executive they are now denying to refund me in bank account but I was told I will be refunded in bank acc.</x:t>
  </x:si>
  <x:si>
    <x:t xml:space="preserve">Bank refund promised then denied</x:t>
  </x:si>
  <x:si>
    <x:t xml:space="preserve">Sat Dec 02 15:27:53 +0000 2017</x:t>
  </x:si>
  <x:si>
    <x:t xml:space="preserve">@AmazonHelp Its now 277! I want to return it and get my money back. Its 2 days late and i refuse to now accept its 122 pounds cheaper. Return and refund please https://t.co/5mO7fCAdmv</x:t>
  </x:si>
  <x:si>
    <x:t xml:space="preserve">Return: price drop and late</x:t>
  </x:si>
  <x:si>
    <x:t xml:space="preserve">Thu Oct 05 08:18:38 +0000 2017</x:t>
  </x:si>
  <x:si>
    <x:t xml:space="preserve">@AmazonHelp Refund, can't source from anywhere else. Put up with it. Now if you pay for prime they could easily extend my prime or refund some £</x:t>
  </x:si>
  <x:si>
    <x:t xml:space="preserve">Fri Nov 24 20:08:58 +0000 2017</x:t>
  </x:si>
  <x:si>
    <x:t xml:space="preserve">@AmazonHelp hi, my order was late and I have been charged twice</x:t>
  </x:si>
  <x:si>
    <x:t xml:space="preserve">Charged twice (billing)</x:t>
  </x:si>
  <x:si>
    <x:t xml:space="preserve">Thu Oct 05 12:44:57 +0000 2017</x:t>
  </x:si>
  <x:si>
    <x:t xml:space="preserve">@115850 @AmazonHelp if I have ordered a product in Prime and delivery is to be provided in one day, but isn't. I should get a refund...</x:t>
  </x:si>
  <x:si>
    <x:t xml:space="preserve">Wed Nov 22 13:38:24 +0000 2017</x:t>
  </x:si>
  <x:si>
    <x:t xml:space="preserve">@AmazonHelp I didn't return anything as I didn't receive it! It said it was damaged on the way so it was returned.but I only got refund of one of the items. so where's the other one?</x:t>
  </x:si>
  <x:si>
    <x:t xml:space="preserve">Partial refund only</x:t>
  </x:si>
  <x:si>
    <x:t xml:space="preserve">Fri Dec 01 02:13:53 +0000 2017</x:t>
  </x:si>
  <x:si>
    <x:t xml:space="preserve">@224594 @AmazonHelp They promise me today to have a refund of the one day shipping cost, that’s was 6hrs ago and I was told it would take 2hrs...nothing on my account for a refund. And I took the offer to get it as a gift card...it was faster 🙄🙄</x:t>
  </x:si>
  <x:si>
    <x:t xml:space="preserve">Thu Nov 30 13:07:28 +0000 2017</x:t>
  </x:si>
  <x:si>
    <x:t xml:space="preserve">@AmazonHelp Button popped up today for a refund. I requested it. Thanks for the quick replies</x:t>
  </x:si>
  <x:si>
    <x:t xml:space="preserve">Thanks, refund requested</x:t>
  </x:si>
  <x:si>
    <x:t xml:space="preserve">Mon Nov 20 17:45:53 +0000 2017</x:t>
  </x:si>
  <x:si>
    <x:t xml:space="preserve">@AmazonHelp it was! i even got in touch with the seller to explain why i requested cancellation but i’d received a notification from my bank that i’d been charged for the order by then. the order was cancelled two days after, approximately, but i didn’t receive a refund or anything.</x:t>
  </x:si>
  <x:si>
    <x:t xml:space="preserve">Tue Oct 10 20:59:54 +0000 2017</x:t>
  </x:si>
  <x:si>
    <x:t xml:space="preserve">@209462 @AmazonHelp Ugh that's the WORST. Im really happy that if you just cancel it, they refund you. Super easy!</x:t>
  </x:si>
  <x:si>
    <x:t xml:space="preserve">Reply to another user; no request</x:t>
  </x:si>
  <x:si>
    <x:t xml:space="preserve">Fri Nov 24 21:38:18 +0000 2017</x:t>
  </x:si>
  <x:si>
    <x:t xml:space="preserve">@AmazonHelp I need to return something but there is no return slip and the prime app is no help. What to do?</x:t>
  </x:si>
  <x:si>
    <x:t xml:space="preserve">No return slip</x:t>
  </x:si>
  <x:si>
    <x:t xml:space="preserve">Fri Dec 01 02:33:43 +0000 2017</x:t>
  </x:si>
  <x:si>
    <x:t xml:space="preserve">@AmazonHelp my item was broken when I received it yesterday! States no refunds? Why? Should I dispute the charge?</x:t>
  </x:si>
  <x:si>
    <x:t xml:space="preserve">Broken item, 'no refunds', mentions chargeback</x:t>
  </x:si>
  <x:si>
    <x:t xml:space="preserve">Tue Oct 10 16:39:26 +0000 2017</x:t>
  </x:si>
  <x:si>
    <x:t xml:space="preserve">@AmazonHelp I don't want to spend hours on the phone to your call centre. I want my stuff and I want a refund on my prime membership</x:t>
  </x:si>
  <x:si>
    <x:t xml:space="preserve">Tue Oct 10 10:08:56 +0000 2017</x:t>
  </x:si>
  <x:si>
    <x:t xml:space="preserve">@AmazonHelp I don’t have tracking details I was given a Royal Mail return address and asked to post it which I did last Friday. Then a courier has come.</x:t>
  </x:si>
  <x:si>
    <x:t xml:space="preserve">Return posted; courier confusion</x:t>
  </x:si>
  <x:si>
    <x:t xml:space="preserve">Fri Nov 24 19:42:45 +0000 2017</x:t>
  </x:si>
  <x:si>
    <x:t xml:space="preserve">@AmazonHelp I’m trying to return a parcel as it arrived to me completely damaged. Hermes were supposed to collect it 2 days in a row and failed to turn up. The parcel is with my mailman. He doesn’t work weekends so it’s unavailable to collect until Monday.</x:t>
  </x:si>
  <x:si>
    <x:t xml:space="preserve">Damaged-item pickup failed twice</x:t>
  </x:si>
  <x:si>
    <x:t xml:space="preserve">Thu Nov 30 12:27:04 +0000 2017</x:t>
  </x:si>
  <x:si>
    <x:t xml:space="preserve">@AmazonHelp I have requested a refund.</x:t>
  </x:si>
  <x:si>
    <x:t xml:space="preserve">Refund requested</x:t>
  </x:si>
  <x:si>
    <x:t xml:space="preserve">Sun Dec 03 19:15:31 +0000 2017</x:t>
  </x:si>
  <x:si>
    <x:t xml:space="preserve">@AmazonHelp That's what I did and ended up with no resolution. They were not very helpful. They checked the tracking and told me I would have to wait because it is on the way which is why they can't give a refund.</x:t>
  </x:si>
  <x:si>
    <x:t xml:space="preserve">Lost in transit, refund blocked</x:t>
  </x:si>
  <x:si>
    <x:t xml:space="preserve">Sat Oct 28 15:43:13 +0000 2017</x:t>
  </x:si>
  <x:si>
    <x:t xml:space="preserve">@AmazonHelp Now d last date of delivery and ur promise r also over. Nothing happened. If @115850 is not able to deliver, atleast refund the money.</x:t>
  </x:si>
  <x:si>
    <x:t xml:space="preserve">Late past promise; wants refund</x:t>
  </x:si>
  <x:si>
    <x:t xml:space="preserve">Sat Oct 07 21:54:14 +0000 2017</x:t>
  </x:si>
  <x:si>
    <x:t xml:space="preserve">@AmazonHelp Thanks for responding. Returning to conventional shopping is best for me. I am done with shopping via #Amazon</x:t>
  </x:si>
  <x:si>
    <x:t xml:space="preserve">Churn statement; no request</x:t>
  </x:si>
  <x:si>
    <x:t xml:space="preserve">Thu Oct 05 15:38:45 +0000 2017</x:t>
  </x:si>
  <x:si>
    <x:t xml:space="preserve">@AmazonHelp Ok ill will want a full refund and what about supervisor named Kenny A. Calling me a lier and refused to transfer me is that ok with Amazon?</x:t>
  </x:si>
  <x:si>
    <x:t xml:space="preserve">Agent misconduct allegation</x:t>
  </x:si>
  <x:si>
    <x:t xml:space="preserve">Mon Oct 23 13:03:36 +0000 2017</x:t>
  </x:si>
  <x:si>
    <x:t xml:space="preserve">@AmazonHelp I had faced a problem regarding delivery of a parcel contacted 1 st agent she said pack lost in in transit, 2nd said packet returned contd.</x:t>
  </x:si>
  <x:si>
    <x:t xml:space="preserve">Conflicting lost/returned answers</x:t>
  </x:si>
  <x:si>
    <x:t xml:space="preserve">Sat Oct 28 10:13:35 +0000 2017</x:t>
  </x:si>
  <x:si>
    <x:t xml:space="preserve">@AmazonHelp It has been 58 days now. No refund till now.</x:t>
  </x:si>
  <x:si>
    <x:t xml:space="preserve">58 days, no refund</x:t>
  </x:si>
  <x:si>
    <x:t xml:space="preserve">Wed Oct 11 06:32:29 +0000 2017</x:t>
  </x:si>
  <x:si>
    <x:t xml:space="preserve">@AmazonHelp I placed an order, received some items &amp;amp; 2 or 3 parcels were sent out Saturday that I never received.. now trying to get a refund ... 1/2</x:t>
  </x:si>
  <x:si>
    <x:t xml:space="preserve">Parcels never received; seeking refund</x:t>
  </x:si>
  <x:si>
    <x:t xml:space="preserve">Thu Oct 05 19:46:02 +0000 2017</x:t>
  </x:si>
  <x:si>
    <x:t xml:space="preserve">@AmazonHelp eligible to return until the 4th Nov on the Completed Orders screen. It wasnt what was advertised and sold directly by Amazon!</x:t>
  </x:si>
  <x:si>
    <x:t xml:space="preserve">Not as advertised; within return window</x:t>
  </x:si>
  <x:si>
    <x:t xml:space="preserve">Sat Oct 07 07:01:10 +0000 2017</x:t>
  </x:si>
  <x:si>
    <x:t xml:space="preserve">@AmazonHelp #AmazonIndia worst return service, even customer support &amp;amp; website of #Amazon are not customer friendly. Looking for new e-commerce website</x:t>
  </x:si>
  <x:si>
    <x:t xml:space="preserve">Public rant about returns</x:t>
  </x:si>
  <x:si>
    <x:t xml:space="preserve">Fri Dec 01 12:53:19 +0000 2017</x:t>
  </x:si>
  <x:si>
    <x:t xml:space="preserve">@AmazonHelp But at least there should be option where I can return the product...33k is worth for me...there should be some solution...</x:t>
  </x:si>
  <x:si>
    <x:t xml:space="preserve">Tue Oct 10 18:23:07 +0000 2017</x:t>
  </x:si>
  <x:si>
    <x:t xml:space="preserve">@AmazonHelp I see that bluedart will pickup my return parcel tomorrow.@AmazonHelp @115850</x:t>
  </x:si>
  <x:si>
    <x:t xml:space="preserve">Pickup scheduled info</x:t>
  </x:si>
  <x:si>
    <x:t xml:space="preserve">Thu Oct 05 22:36:31 +0000 2017</x:t>
  </x:si>
  <x:si>
    <x:t xml:space="preserve">@AmazonHelp If I order a Warehouse Deal from Germany to the UK, could I return it to Amazon in the UK if there's something wrong with it?</x:t>
  </x:si>
  <x:si>
    <x:t xml:space="preserve">Cross-border return policy</x:t>
  </x:si>
  <x:si>
    <x:t xml:space="preserve">Sat Dec 02 14:42:50 +0000 2017</x:t>
  </x:si>
  <x:si>
    <x:t xml:space="preserve">@AmazonHelp Yes the delivery dates are being missed, in one instance by almost a week. I understand there will be delays. But I pay extra for two day delivery. When that doesn’t happen, I do expect some type of credit or refund</x:t>
  </x:si>
  <x:si>
    <x:t xml:space="preserve">Wed Nov 01 17:08:39 +0000 2017</x:t>
  </x:si>
  <x:si>
    <x:t xml:space="preserve">@AmazonHelp Otherwise i cant return this damage product</x:t>
  </x:si>
  <x:si>
    <x:t xml:space="preserve">Can't return damaged product; context missing</x:t>
  </x:si>
  <x:si>
    <x:t xml:space="preserve">Wed Nov 22 22:22:46 +0000 2017</x:t>
  </x:si>
  <x:si>
    <x:t xml:space="preserve">@AmazonHelp I've already paid for a membership at full price but how will you refund the difference between the two !</x:t>
  </x:si>
  <x:si>
    <x:t xml:space="preserve">Prime price difference refund</x:t>
  </x:si>
  <x:si>
    <x:t xml:space="preserve">Fri Dec 01 02:26:17 +0000 2017</x:t>
  </x:si>
  <x:si>
    <x:t xml:space="preserve">@AmazonHelp Gift card, that I was told should be there faster than the credit card refund. To quote the CSR 2hrs vs 5 days...and just like 1 day shipping turn into 2 days my refund now can take up to 48hrs nice!</x:t>
  </x:si>
  <x:si>
    <x:t xml:space="preserve">Refund timing complaint</x:t>
  </x:si>
  <x:si>
    <x:t xml:space="preserve">Mon Oct 09 07:21:52 +0000 2017</x:t>
  </x:si>
  <x:si>
    <x:t xml:space="preserve">@AmazonHelp And this is your fault so refund is not a solution right?</x:t>
  </x:si>
  <x:si>
    <x:t xml:space="preserve">Context missing</x:t>
  </x:si>
  <x:si>
    <x:t xml:space="preserve">Mon Oct 09 16:10:55 +0000 2017</x:t>
  </x:si>
  <x:si>
    <x:t xml:space="preserve">@AmazonHelp Already initiated return of the order. Don't want to go in details if you are returning same product to me after a few days.</x:t>
  </x:si>
  <x:si>
    <x:t xml:space="preserve">Return initiated; concern</x:t>
  </x:si>
  <x:si>
    <x:t xml:space="preserve">Thu Nov 30 18:03:19 +0000 2017</x:t>
  </x:si>
  <x:si>
    <x:t xml:space="preserve">@AmazonHelp Tried it. Not helping. The link took me to a call which sent me a replacement link. I want to return the item and not replace it. Your app only has the option to replace. I want to buy it from @5903 directly. What do I do. Have someone call me now!!</x:t>
  </x:si>
  <x:si>
    <x:t xml:space="preserve">App offers only replacement, wants return</x:t>
  </x:si>
  <x:si>
    <x:t xml:space="preserve">Mon Oct 09 16:23:42 +0000 2017</x:t>
  </x:si>
  <x:si>
    <x:t xml:space="preserve">@AmazonHelp I requested ro cancel my taslar screen guard protector and it's cancelled but i haven't received the refund yet pls see.</x:t>
  </x:si>
  <x:si>
    <x:t xml:space="preserve">Refund status after cancellation</x:t>
  </x:si>
  <x:si>
    <x:t xml:space="preserve">Sun Nov 19 07:13:19 +0000 2017</x:t>
  </x:si>
  <x:si>
    <x:t xml:space="preserve">To @115850 @AmazonHelp attached the pics of conversations which I was going throughout but yet I DIDNT GOT MY REFUND OF ₹38000/- I mean to say that does money grow on plant.. Your peoples cheat and why do we wait for our money REFUND now my money's. https://t.co/np1RD0dQ0g</x:t>
  </x:si>
  <x:si>
    <x:t xml:space="preserve">INR 38000 refund not received, angry</x:t>
  </x:si>
  <x:si>
    <x:t xml:space="preserve">Fri Nov 03 10:26:23 +0000 2017</x:t>
  </x:si>
  <x:si>
    <x:t xml:space="preserve">@AmazonHelp Emailed today saying it's still being sourced. 3 push backs and still can't be located. Cancelled it.</x:t>
  </x:si>
  <x:si>
    <x:t xml:space="preserve">Cancel or modify request — usually playbook</x:t>
  </x:si>
  <x:si>
    <x:t xml:space="preserve">Cancelled after sourcing delays</x:t>
  </x:si>
  <x:si>
    <x:t xml:space="preserve">Sun Oct 08 17:00:49 +0000 2017</x:t>
  </x:si>
  <x:si>
    <x:t xml:space="preserve">@AmazonHelp if u understand my concern re-ship my cancelled order</x:t>
  </x:si>
  <x:si>
    <x:t xml:space="preserve">Wants cancelled order reshipped</x:t>
  </x:si>
  <x:si>
    <x:t xml:space="preserve">Fri Oct 06 11:38:48 +0000 2017</x:t>
  </x:si>
  <x:si>
    <x:t xml:space="preserve">@AmazonHelp Yes. That’s where I tried &amp;amp; got a message saying they’re preparing the order so it can’t be canceled. The order I placed almost a week ago!</x:t>
  </x:si>
  <x:si>
    <x:t xml:space="preserve">Cannot cancel, preparing</x:t>
  </x:si>
  <x:si>
    <x:t xml:space="preserve">Thu Oct 12 03:25:42 +0000 2017</x:t>
  </x:si>
  <x:si>
    <x:t xml:space="preserve">@AmazonHelp I thought it was sorted, but my orders are still open. it's not shifted to the CANCELLED ORDERS :O https://t.co/f1BUjkooGl</x:t>
  </x:si>
  <x:si>
    <x:t xml:space="preserve">Cancellation not reflected</x:t>
  </x:si>
  <x:si>
    <x:t xml:space="preserve">Thu Oct 12 03:41:33 +0000 2017</x:t>
  </x:si>
  <x:si>
    <x:t xml:space="preserve">@AmazonHelp It says the same thing, "We are cancelling your order". There's no timeline there unfortunately... Hence the question</x:t>
  </x:si>
  <x:si>
    <x:t xml:space="preserve">Cancellation timeline</x:t>
  </x:si>
  <x:si>
    <x:t xml:space="preserve">Wed Nov 22 14:54:06 +0000 2017</x:t>
  </x:si>
  <x:si>
    <x:t xml:space="preserve">@AmazonHelp Hey I'm a Canadian visiting the US, so I ordered something to that address. It got cancelled and locked. I can wait. But will I be able to order it once unlocked? or will it lock again</x:t>
  </x:si>
  <x:si>
    <x:t xml:space="preserve">Order locked (account restriction)</x:t>
  </x:si>
  <x:si>
    <x:t xml:space="preserve">Wed Oct 04 11:42:08 +0000 2017</x:t>
  </x:si>
  <x:si>
    <x:t xml:space="preserve">@AmazonHelp After canceled orders and delayed order, the only thing left was your customer executives raising their voice. Pathetic services</x:t>
  </x:si>
  <x:si>
    <x:t xml:space="preserve">Complaint: executives raised voice</x:t>
  </x:si>
  <x:si>
    <x:t xml:space="preserve">Thu Oct 05 23:16:05 +0000 2017</x:t>
  </x:si>
  <x:si>
    <x:t xml:space="preserve">@AmazonHelp called your customer service line because shipper forced open baby gate breaking it. Your agent offers to cancel Prime</x:t>
  </x:si>
  <x:si>
    <x:t xml:space="preserve">Carrier damaged property (baby gate)</x:t>
  </x:si>
  <x:si>
    <x:t xml:space="preserve">Thu Nov 30 13:47:22 +0000 2017</x:t>
  </x:si>
  <x:si>
    <x:t xml:space="preserve">@AmazonHelp They won't arrive today because it's saying they haven't even been dispatched, tried to cancel today as they aren't going to arrive on time and was told I can't</x:t>
  </x:si>
  <x:si>
    <x:t xml:space="preserve">Cannot cancel late order</x:t>
  </x:si>
  <x:si>
    <x:t xml:space="preserve">Sat Oct 14 09:55:23 +0000 2017</x:t>
  </x:si>
  <x:si>
    <x:t xml:space="preserve">@AmazonHelp Yes, but the order doesn't show at all (not even as cancelled). This is why I called them.</x:t>
  </x:si>
  <x:si>
    <x:t xml:space="preserve">Order missing from account</x:t>
  </x:si>
  <x:si>
    <x:t xml:space="preserve">Tue Oct 10 15:37:51 +0000 2017</x:t>
  </x:si>
  <x:si>
    <x:t xml:space="preserve">@115850 may I know why were these orders cancelled ?????????? #AmazonGreatIndianFestival doesn’t seem that great to me! @AmazonHelp https://t.co/c5Ek6lWfRH</x:t>
  </x:si>
  <x:si>
    <x:t xml:space="preserve">Why were orders cancelled</x:t>
  </x:si>
  <x:si>
    <x:t xml:space="preserve">Thu Nov 30 10:29:36 +0000 2017</x:t>
  </x:si>
  <x:si>
    <x:t xml:space="preserve">@AmazonHelp but i purchased it in time and have an order number! It's not my fault you cancelled the order 😭 How can you not price match it when I have a receipt?</x:t>
  </x:si>
  <x:si>
    <x:t xml:space="preserve">Cancelled by Amazon; price match dispute</x:t>
  </x:si>
  <x:si>
    <x:t xml:space="preserve">Wed Oct 04 12:23:33 +0000 2017</x:t>
  </x:si>
  <x:si>
    <x:t xml:space="preserve">@AmazonHelp I've literally not inquired about this order for fear of this and sure enough CS escalated a ticket 2 cancel in 24 hours without my approval</x:t>
  </x:si>
  <x:si>
    <x:t xml:space="preserve">CS cancelled without approval</x:t>
  </x:si>
  <x:si>
    <x:t xml:space="preserve">Thu Oct 12 16:05:59 +0000 2017</x:t>
  </x:si>
  <x:si>
    <x:t xml:space="preserve">@AmazonHelp I’ve already sort of done that by phone and cancelled it because @6841 won’t deliver today hopefully it won’t turn up tomorrow</x:t>
  </x:si>
  <x:si>
    <x:t xml:space="preserve">Cancelled by phone</x:t>
  </x:si>
  <x:si>
    <x:t xml:space="preserve">Tue Oct 10 17:18:22 +0000 2017</x:t>
  </x:si>
  <x:si>
    <x:t xml:space="preserve">@115830 @AmazonHelp im cancelling my prime id recommend you all dont buy from them as they dont stand by their products</x:t>
  </x:si>
  <x:si>
    <x:t xml:space="preserve">Cancelling Prime</x:t>
  </x:si>
  <x:si>
    <x:t xml:space="preserve">Tue Oct 10 05:21:26 +0000 2017</x:t>
  </x:si>
  <x:si>
    <x:t xml:space="preserve">@115850 @AmazonHelp #4__credit_card__ after several calls and confirmation mails from cust care represent order has been cancelled 1/2</x:t>
  </x:si>
  <x:si>
    <x:t xml:space="preserve">Tweet contains redacted card data (PII)</x:t>
  </x:si>
  <x:si>
    <x:t xml:space="preserve">Wed Nov 01 14:27:16 +0000 2017</x:t>
  </x:si>
  <x:si>
    <x:t xml:space="preserve">@AmazonHelp I purchased this book for my commute this morning and it won't show up to listen. Now I can't cancel. Plz help https://t.co/0sAo5aGFbS</x:t>
  </x:si>
  <x:si>
    <x:t xml:space="preserve">Audiobook not showing; can't cancel</x:t>
  </x:si>
  <x:si>
    <x:t xml:space="preserve">Sun Oct 08 11:16:11 +0000 2017</x:t>
  </x:si>
  <x:si>
    <x:t xml:space="preserve">@AmazonHelp Did not cancel it, never received it, supposedly delivered 3 weeks ago...</x:t>
  </x:si>
  <x:si>
    <x:t xml:space="preserve">'Delivered' 3 weeks ago, never received</x:t>
  </x:si>
  <x:si>
    <x:t xml:space="preserve">Sun Dec 03 21:31:37 +0000 2017</x:t>
  </x:si>
  <x:si>
    <x:t xml:space="preserve">@AmazonHelp Thanks, but I needed it today, tomorrow is not really helpful. That's why I ordered with Prime for Sunday delivery. If it doesn't come today as expected can I cancel the order?</x:t>
  </x:si>
  <x:si>
    <x:t xml:space="preserve">Can I cancel if late</x:t>
  </x:si>
  <x:si>
    <x:t xml:space="preserve">Wed Oct 11 17:16:43 +0000 2017</x:t>
  </x:si>
  <x:si>
    <x:t xml:space="preserve">@AmazonHelp the driver rang me for directions and then hung up on me and then 2 minutes later cancelled the delivery. WTF https://t.co/RNokrT8SZo</x:t>
  </x:si>
  <x:si>
    <x:t xml:space="preserve">Driver cancelled delivery</x:t>
  </x:si>
  <x:si>
    <x:t xml:space="preserve">Thu Oct 12 08:00:01 +0000 2017</x:t>
  </x:si>
  <x:si>
    <x:t xml:space="preserve">@AmazonHelp I have stayed for 3 days to confirm me status of order but no one is answering. Finally cancelled</x:t>
  </x:si>
  <x:si>
    <x:t xml:space="preserve">Cancelled after no response</x:t>
  </x:si>
  <x:si>
    <x:t xml:space="preserve">Thu Nov 23 16:13:40 +0000 2017</x:t>
  </x:si>
  <x:si>
    <x:t xml:space="preserve">@AmazonHelp y u guys cancelled my order 407-0880525-1284313 without any intimation.</x:t>
  </x:si>
  <x:si>
    <x:t xml:space="preserve">Cancelled without notice; order number is not PII</x:t>
  </x:si>
  <x:si>
    <x:t xml:space="preserve">Sun Dec 03 02:31:39 +0000 2017</x:t>
  </x:si>
  <x:si>
    <x:t xml:space="preserve">@AmazonHelp No thank you, probably canceling my prime at the end of this month. I pay for 2-day shipping, not 2-day shipping sometimes.</x:t>
  </x:si>
  <x:si>
    <x:t xml:space="preserve">Prime cancellation threat</x:t>
  </x:si>
  <x:si>
    <x:t xml:space="preserve">Fri Oct 06 12:01:44 +0000 2017</x:t>
  </x:si>
  <x:si>
    <x:t xml:space="preserve">@AmazonHelp It selected 2 day and then said Oct 12. If I wanted it by the 11th I had to pay more. So I cancelled it then.</x:t>
  </x:si>
  <x:si>
    <x:t xml:space="preserve">Cancelled over delivery date</x:t>
  </x:si>
  <x:si>
    <x:t xml:space="preserve">Sat Dec 02 18:08:51 +0000 2017</x:t>
  </x:si>
  <x:si>
    <x:t xml:space="preserve">@AmazonHelp Yea after the first failed delivery. I’ll give them until close of play Monday before it cancel.</x:t>
  </x:si>
  <x:si>
    <x:t xml:space="preserve">Will cancel if not delivered</x:t>
  </x:si>
  <x:si>
    <x:t xml:space="preserve">Sat Dec 02 13:39:44 +0000 2017</x:t>
  </x:si>
  <x:si>
    <x:t xml:space="preserve">@AmazonHelp I got a letter saying I was eligible for another 30-day free trial of prime, but when I try to use it it just says I still have to pay to rejoin?</x:t>
  </x:si>
  <x:si>
    <x:t xml:space="preserve">Account/Prime question</x:t>
  </x:si>
  <x:si>
    <x:t xml:space="preserve">Prime trial offer not applying</x:t>
  </x:si>
  <x:si>
    <x:t xml:space="preserve">Wed Oct 11 14:31:24 +0000 2017</x:t>
  </x:si>
  <x:si>
    <x:t xml:space="preserve">@AmazonHelp Now there's another problem. I can not link my Kindle paperwhite to my amazon account. I have restored the device by mistake.</x:t>
  </x:si>
  <x:si>
    <x:t xml:space="preserve">Kindle device linking</x:t>
  </x:si>
  <x:si>
    <x:t xml:space="preserve">Sat Dec 02 16:36:40 +0000 2017</x:t>
  </x:si>
  <x:si>
    <x:t xml:space="preserve">@245184 @AmazonHelp I've already received a one-month extension to Prime membership. But these were 3 separate orders, placed weeks apart. All were "guaranteed" to be delivered ON 12/1. Cats need fed, so: Target. U2 friends disappointed that my #U2SongsofExperience listening party lacked music.</x:t>
  </x:si>
  <x:si>
    <x:t xml:space="preserve">Prime compensation, repeat late</x:t>
  </x:si>
  <x:si>
    <x:t xml:space="preserve">Thu Nov 30 15:59:09 +0000 2017</x:t>
  </x:si>
  <x:si>
    <x:t xml:space="preserve">@AmazonHelp why do I pay for Prime when my packages can’t be delivered in 2 days!? It’s literally in East Pete, PA...which is 15 minutes from my front door................ https://t.co/A28EiB4ihC</x:t>
  </x:si>
  <x:si>
    <x:t xml:space="preserve">Wed Oct 04 09:15:56 +0000 2017</x:t>
  </x:si>
  <x:si>
    <x:t xml:space="preserve">@AmazonHelp I am surprised, you are not seeing your own full page add in Dainik Bhaskar Bhopal today. Samsung J 7 Prime at a price of Rs.10590 is there</x:t>
  </x:si>
  <x:si>
    <x:t xml:space="preserve">Price in newspaper ad</x:t>
  </x:si>
  <x:si>
    <x:t xml:space="preserve">Mon Oct 09 13:38:39 +0000 2017</x:t>
  </x:si>
  <x:si>
    <x:t xml:space="preserve">@AmazonHelp Nö :-) Mein Kindle Account läuft auf .com</x:t>
  </x:si>
  <x:si>
    <x:t xml:space="preserve">German: Kindle account marketplace</x:t>
  </x:si>
  <x:si>
    <x:t xml:space="preserve">Wed Oct 11 06:36:42 +0000 2017</x:t>
  </x:si>
  <x:si>
    <x:t xml:space="preserve">@AmazonHelp my account has been hacked and I can't find a UK contact number</x:t>
  </x:si>
  <x:si>
    <x:t xml:space="preserve">Fraud / account compromise</x:t>
  </x:si>
  <x:si>
    <x:t xml:space="preserve">Account hacked</x:t>
  </x:si>
  <x:si>
    <x:t xml:space="preserve">Wed Nov 22 14:07:32 +0000 2017</x:t>
  </x:si>
  <x:si>
    <x:t xml:space="preserve">@AmazonHelp So now I'm locked out of my account, no access to Prime, no access to Amazon Music. No access to my kindle books. Customer service unhelpful on phone says I should open a second account.</x:t>
  </x:si>
  <x:si>
    <x:t xml:space="preserve">Locked out of account</x:t>
  </x:si>
  <x:si>
    <x:t xml:space="preserve">Mon Oct 09 14:33:33 +0000 2017</x:t>
  </x:si>
  <x:si>
    <x:t xml:space="preserve">@AmazonHelp No use of prime membership order is late</x:t>
  </x:si>
  <x:si>
    <x:t xml:space="preserve">Order late</x:t>
  </x:si>
  <x:si>
    <x:t xml:space="preserve">Fri Nov 24 01:52:28 +0000 2017</x:t>
  </x:si>
  <x:si>
    <x:t xml:space="preserve">@AmazonHelp I just saw an ad for it being on Amazon Prime, looked like a Prime Origional. Was it on Prime in Canada before? Will it be available in Canada soon?</x:t>
  </x:si>
  <x:si>
    <x:t xml:space="preserve">Prime Video availability</x:t>
  </x:si>
  <x:si>
    <x:t xml:space="preserve">Sun Dec 03 03:18:09 +0000 2017</x:t>
  </x:si>
  <x:si>
    <x:t xml:space="preserve">@AmazonHelp what is up with your shipping in Kansas??? My package was out for delivery TWICE and sent back to the distribution center TWICE!! I don’t get it??? And I still don’t have my pants I ordered on Prime over a week ago?!? #AmazonPrime</x:t>
  </x:si>
  <x:si>
    <x:t xml:space="preserve">Thu Oct 12 03:45:59 +0000 2017</x:t>
  </x:si>
  <x:si>
    <x:t xml:space="preserve">@AmazonHelp I also haven't received Rs 1000 cashback as prime member which was promised</x:t>
  </x:si>
  <x:si>
    <x:t xml:space="preserve">Promised Prime cashback not received</x:t>
  </x:si>
  <x:si>
    <x:t xml:space="preserve">Wed Nov 01 14:21:28 +0000 2017</x:t>
  </x:si>
  <x:si>
    <x:t xml:space="preserve">@AmazonHelp I was signed up to Prime and it wasn’t me who did it. Did someone hack my account?</x:t>
  </x:si>
  <x:si>
    <x:t xml:space="preserve">Unauthorised Prime signup, possible hack</x:t>
  </x:si>
  <x:si>
    <x:t xml:space="preserve">Wed Oct 11 19:06:39 +0000 2017</x:t>
  </x:si>
  <x:si>
    <x:t xml:space="preserve">@AmazonHelp @119625 can we watch arjun reddy telugu movie releasing on amazonvideoin in USA with amazon prime.even with heera sub reply</x:t>
  </x:si>
  <x:si>
    <x:t xml:space="preserve">Thu Nov 23 15:47:26 +0000 2017</x:t>
  </x:si>
  <x:si>
    <x:t xml:space="preserve">@AmazonHelp My account is “locked” due to suspicious activity( used a pc to access my account which may be connected to a French server !), I just want my account unlocked so I can access it again !</x:t>
  </x:si>
  <x:si>
    <x:t xml:space="preserve">Account locked for suspicious activity</x:t>
  </x:si>
  <x:si>
    <x:t xml:space="preserve">Tue Oct 10 05:17:01 +0000 2017</x:t>
  </x:si>
  <x:si>
    <x:t xml:space="preserve">@AmazonHelp AMZN Prime members search Amazon in house carrier AMZN L on net. Many, many complaints! Bad service! Do not use!</x:t>
  </x:si>
  <x:si>
    <x:t xml:space="preserve">Public rant about carrier</x:t>
  </x:si>
  <x:si>
    <x:t xml:space="preserve">Tue Oct 10 18:52:48 +0000 2017</x:t>
  </x:si>
  <x:si>
    <x:t xml:space="preserve">@AmazonHelp Amazon pay is like a bank account... report the fraud transactions and it should be made void... behave like financial institutions ...</x:t>
  </x:si>
  <x:si>
    <x:t xml:space="preserve">Fraudulent Amazon Pay transactions</x:t>
  </x:si>
  <x:si>
    <x:t xml:space="preserve">Wed Oct 04 09:50:24 +0000 2017</x:t>
  </x:si>
  <x:si>
    <x:t xml:space="preserve">@AmazonHelp Hi, so still nothing from your account specialists, although I've had confirmation that 2 orders have been dispatched and arrived today</x:t>
  </x:si>
  <x:si>
    <x:t xml:space="preserve">Waiting on account specialists</x:t>
  </x:si>
  <x:si>
    <x:t xml:space="preserve">Thu Oct 05 12:19:53 +0000 2017</x:t>
  </x:si>
  <x:si>
    <x:t xml:space="preserve">@AmazonHelp @115850 @115851 What kind of support system you have? Advanced paid orders and prime members are treated in this manner????</x:t>
  </x:si>
  <x:si>
    <x:t xml:space="preserve">Vague support complaint</x:t>
  </x:si>
  <x:si>
    <x:t xml:space="preserve">Sun Oct 08 13:10:22 +0000 2017</x:t>
  </x:si>
  <x:si>
    <x:t xml:space="preserve">@AmazonHelp Limited to Non-Prime members because my Brother and one of my friend got their invitation. Both of them don't have Prime (But I Have)</x:t>
  </x:si>
  <x:si>
    <x:t xml:space="preserve">Invite eligibility, Prime vs non-Prime</x:t>
  </x:si>
  <x:si>
    <x:t xml:space="preserve">Sat Dec 02 18:56:46 +0000 2017</x:t>
  </x:si>
  <x:si>
    <x:t xml:space="preserve">@AmazonHelp Where's my stuff?? Very good questions!! Sat in all day best you can offer is spend another day sitting in tomorrow as 'last delivery is 9pm' it's 1855 now - get it sorted @115830 terrible, terrible service #amazon #amazonprime</x:t>
  </x:si>
  <x:si>
    <x:t xml:space="preserve">Angry missed delivery</x:t>
  </x:si>
  <x:si>
    <x:t xml:space="preserve">Wed Nov 22 16:50:41 +0000 2017</x:t>
  </x:si>
  <x:si>
    <x:t xml:space="preserve">@AmazonHelp The date they said they’d arrive on th confirmation was today when I ordered yesterday. But I just got an email saying they could be here in up to three days time. I pay for prime in general and some of the products I bought were more expensive items in order to get prime.</x:t>
  </x:si>
  <x:si>
    <x:t xml:space="preserve">ETA slipped</x:t>
  </x:si>
  <x:si>
    <x:t xml:space="preserve">Fri Dec 01 15:41:30 +0000 2017</x:t>
  </x:si>
  <x:si>
    <x:t xml:space="preserve">@AmazonHelp Hi, was notified that Prime order was 'out for delivery' this morning, has now changed to say 'expected 1 - 5 dec' - anymore info than that? Is it still out for delivery? Please can you clarify?</x:t>
  </x:si>
  <x:si>
    <x:t xml:space="preserve">Status changed, asks clarification</x:t>
  </x:si>
  <x:si>
    <x:t xml:space="preserve">Thu Oct 05 18:00:03 +0000 2017</x:t>
  </x:si>
  <x:si>
    <x:t xml:space="preserve">@AmazonHelp That info is inaccurate. There is no “Dash devices” under “Your account”. There is a “Your Dash buttons” but it goes to virtual console(1/2)</x:t>
  </x:si>
  <x:si>
    <x:t xml:space="preserve">Dash buttons in account</x:t>
  </x:si>
  <x:si>
    <x:t xml:space="preserve">Wed Nov 22 12:01:02 +0000 2017</x:t>
  </x:si>
  <x:si>
    <x:t xml:space="preserve">Any plans to discount prime subscription? @AmazonHelp</x:t>
  </x:si>
  <x:si>
    <x:t xml:space="preserve">Prime discount question</x:t>
  </x:si>
  <x:si>
    <x:t xml:space="preserve">Wed Oct 11 19:29:02 +0000 2017</x:t>
  </x:si>
  <x:si>
    <x:t xml:space="preserve">@AmazonHelp @115823 How can merchants trust you to process payments if you arbitrarily suspend long-term accounts in good standing &amp;amp; then disappear?</x:t>
  </x:si>
  <x:si>
    <x:t xml:space="preserve">Seller account suspended</x:t>
  </x:si>
  <x:si>
    <x:t xml:space="preserve">Mon Oct 09 22:21:13 +0000 2017</x:t>
  </x:si>
  <x:si>
    <x:t xml:space="preserve">@AmazonHelp u askd me 2provide anoda account apart from Nigeria so u can pay my $120. I provided a U.S account then u blocked my account.</x:t>
  </x:si>
  <x:si>
    <x:t xml:space="preserve">Account blocked during payout</x:t>
  </x:si>
  <x:si>
    <x:t xml:space="preserve">Sat Oct 07 17:43:21 +0000 2017</x:t>
  </x:si>
  <x:si>
    <x:t xml:space="preserve">@AmazonHelp hi! My uk prime order was due for delivery today but is still saying preparing for dispatch</x:t>
  </x:si>
  <x:si>
    <x:t xml:space="preserve">Prime order not dispatched</x:t>
  </x:si>
  <x:si>
    <x:t xml:space="preserve">Thu Nov 30 14:10:07 +0000 2017</x:t>
  </x:si>
  <x:si>
    <x:t xml:space="preserve">@AmazonHelp No one was conciliatory, no one apologized for the blatant lying (which is recorded in chat transcripts), and I won't get my package on time. This isn't the first time. @115821 doesn't care about delivery in rural areas. Prime or not.</x:t>
  </x:si>
  <x:si>
    <x:t xml:space="preserve">Alleges agent lying; repeat</x:t>
  </x:si>
  <x:si>
    <x:t xml:space="preserve">Fri Nov 24 01:29:58 +0000 2017</x:t>
  </x:si>
  <x:si>
    <x:t xml:space="preserve">@AmazonHelp And why when I call nobody let me talk to an account specialist!</x:t>
  </x:si>
  <x:si>
    <x:t xml:space="preserve">Wants account specialist</x:t>
  </x:si>
  <x:si>
    <x:t xml:space="preserve">Sat Nov 25 08:55:56 +0000 2017</x:t>
  </x:si>
  <x:si>
    <x:t xml:space="preserve">@AmazonHelp I've never had problems until last 2 months. Shipments are late or never show up. Or are damaged like this. What is up? #Amazon https://t.co/Gm58bHU7bt</x:t>
  </x:si>
  <x:si>
    <x:t xml:space="preserve">Physical defect usually needs order + replacement flow</x:t>
  </x:si>
  <x:si>
    <x:t xml:space="preserve">Repeated damaged/late shipments</x:t>
  </x:si>
  <x:si>
    <x:t xml:space="preserve">Tue Oct 10 04:00:29 +0000 2017</x:t>
  </x:si>
  <x:si>
    <x:t xml:space="preserve">@AmazonHelp finally I can't use damaged product so revert my money back otherwise it would be shame as torturing like this......(4/4)</x:t>
  </x:si>
  <x:si>
    <x:t xml:space="preserve">Damaged; wants money back (4/4 thread)</x:t>
  </x:si>
  <x:si>
    <x:t xml:space="preserve">Thu Oct 05 21:36:16 +0000 2017</x:t>
  </x:si>
  <x:si>
    <x:t xml:space="preserve">@AmazonHelp Currently working through chat with one of the most confusing CSRs I've ever interacted with. First he said that it was damaged, then he said it'll be delivered by this evening. I've only ever had this problem with AMZL shipments - what's the deal? https://t.co/NpfiZXnHcD</x:t>
  </x:si>
  <x:si>
    <x:t xml:space="preserve">Confusing CSR: damaged vs delivering</x:t>
  </x:si>
  <x:si>
    <x:t xml:space="preserve">Thu Oct 05 18:05:27 +0000 2017</x:t>
  </x:si>
  <x:si>
    <x:t xml:space="preserve">@AmazonHelp This whole episode has broken the trust on you people. I’ll be lodging a complaint against you #trustbroken</x:t>
  </x:si>
  <x:si>
    <x:t xml:space="preserve">Threat to lodge complaint</x:t>
  </x:si>
  <x:si>
    <x:t xml:space="preserve">Tue Oct 10 20:25:42 +0000 2017</x:t>
  </x:si>
  <x:si>
    <x:t xml:space="preserve">@AmazonHelp hi I just received an order from you and it’s arrived damaged :(</x:t>
  </x:si>
  <x:si>
    <x:t xml:space="preserve">Arrived damaged</x:t>
  </x:si>
  <x:si>
    <x:t xml:space="preserve">Wed Nov 01 17:39:50 +0000 2017</x:t>
  </x:si>
  <x:si>
    <x:t xml:space="preserve">@AmazonHelp Over 50 orders. More than a hundred books. Not a single free bookmark. I'm heartbroken, Amazon! :(</x:t>
  </x:si>
  <x:si>
    <x:t xml:space="preserve">Bookmark joke</x:t>
  </x:si>
  <x:si>
    <x:t xml:space="preserve">Fri Nov 24 10:15:59 +0000 2017</x:t>
  </x:si>
  <x:si>
    <x:t xml:space="preserve">@AmazonHelp The contact number was intentional. Anyways, its useless. The number doesn't work anyways. Its as useless to call as a 10 digit random number starting with Z.</x:t>
  </x:si>
  <x:si>
    <x:t xml:space="preserve">Contact number not working</x:t>
  </x:si>
  <x:si>
    <x:t xml:space="preserve">Thu Oct 12 03:12:25 +0000 2017</x:t>
  </x:si>
  <x:si>
    <x:t xml:space="preserve">@AmazonHelp Hey, this very pathetic support. I, timely, applied for the replacement coz I received damaged battery. And shipped the one I received. 1/2</x:t>
  </x:si>
  <x:si>
    <x:t xml:space="preserve">Replacement battery not received after return</x:t>
  </x:si>
  <x:si>
    <x:t xml:space="preserve">Thu Oct 12 11:59:05 +0000 2017</x:t>
  </x:si>
  <x:si>
    <x:t xml:space="preserve">@AmazonHelp i had already have chat with your representative ... It doesn't work</x:t>
  </x:si>
  <x:si>
    <x:t xml:space="preserve">Chat didn't work</x:t>
  </x:si>
  <x:si>
    <x:t xml:space="preserve">Sat Oct 14 14:55:50 +0000 2017</x:t>
  </x:si>
  <x:si>
    <x:t xml:space="preserve">@AmazonHelp you international number doesn't work from Ireland and it also doesn't accept an Irish number</x:t>
  </x:si>
  <x:si>
    <x:t xml:space="preserve">International number fails from Ireland</x:t>
  </x:si>
  <x:si>
    <x:t xml:space="preserve">Mon Oct 09 17:30:03 +0000 2017</x:t>
  </x:si>
  <x:si>
    <x:t xml:space="preserve">@AmazonHelp I received ANOTHER damaged #AmazonSubscribeAndSave delivered by @118706 it was clearly marked as HEAVY &amp;amp; delivered on its side.</x:t>
  </x:si>
  <x:si>
    <x:t xml:space="preserve">Repeated damaged Subscribe &amp; Save</x:t>
  </x:si>
  <x:si>
    <x:t xml:space="preserve">Sat Dec 02 10:30:25 +0000 2017</x:t>
  </x:si>
  <x:si>
    <x:t xml:space="preserve">@AmazonHelp There wasn't any other options regarding packaging, have just double checked. Item isn't technically damaged itself but not sure how to gift it when the box looks so awful due to being opened and stickered to death. Any advice?</x:t>
  </x:si>
  <x:si>
    <x:t xml:space="preserve">Packaging damaged, gift</x:t>
  </x:si>
  <x:si>
    <x:t xml:space="preserve">Sun Jun 18 16:44:59 +0000 2017</x:t>
  </x:si>
  <x:si>
    <x:t xml:space="preserve">@AmazonHelp I tried logging into my Amazon acct for the 1st time in months and cannot access. Even if I send myself a new PW it doesn't work</x:t>
  </x:si>
  <x:si>
    <x:t xml:space="preserve">Cannot log in; password reset fails. Bot mislabelled product_quality</x:t>
  </x:si>
  <x:si>
    <x:t xml:space="preserve">Sat Dec 02 21:14:23 +0000 2017</x:t>
  </x:si>
  <x:si>
    <x:t xml:space="preserve">@AmazonHelp I get back home to an item which has been delivered. How disappointed are my class of 30 children going to be with a BRAND NEW story book which is noticeably damaged? ☹️ https://t.co/jhXFhByonR</x:t>
  </x:si>
  <x:si>
    <x:t xml:space="preserve">Damaged book</x:t>
  </x:si>
  <x:si>
    <x:t xml:space="preserve">Tue Oct 10 23:07:17 +0000 2017</x:t>
  </x:si>
  <x:si>
    <x:t xml:space="preserve">@AmazonHelp Yes. This is unacceptable to get damaged artbook https://t.co/jVX22j24j2</x:t>
  </x:si>
  <x:si>
    <x:t xml:space="preserve">Damaged artbook</x:t>
  </x:si>
  <x:si>
    <x:t xml:space="preserve">Fri Nov 24 15:02:54 +0000 2017</x:t>
  </x:si>
  <x:si>
    <x:t xml:space="preserve">@AmazonHelp Get this every time. Tried multiple locations. And been through Support with the first broken one https://t.co/hCdc54LDSe</x:t>
  </x:si>
  <x:si>
    <x:t xml:space="preserve">Repeated broken items</x:t>
  </x:si>
  <x:si>
    <x:t xml:space="preserve">Fri Nov 24 12:23:57 +0000 2017</x:t>
  </x:si>
  <x:si>
    <x:t xml:space="preserve">@115850 @AmazonHelp Products continue to be damaged at AMD1 FC, please ask the relevant team to get in touch with us ASAP</x:t>
  </x:si>
  <x:si>
    <x:t xml:space="preserve">Business customer: repeat FC damage</x:t>
  </x:si>
  <x:si>
    <x:t xml:space="preserve">Sun Dec 03 17:48:07 +0000 2017</x:t>
  </x:si>
  <x:si>
    <x:t xml:space="preserve">@AmazonHelp The product wasn't damaged but that's not the point. Your #carriers are more worried about making money than maintaining package integrity. This is the "update" on our printer. https://t.co/ZBNlcHGrgZ</x:t>
  </x:si>
  <x:si>
    <x:t xml:space="preserve">Sun Dec 03 11:17:50 +0000 2017</x:t>
  </x:si>
  <x:si>
    <x:t xml:space="preserve">@AmazonHelp Lucky escape on this one - the parcel contained swimming goggles! Second parcel also soaked - will let you know if anything damaged.</x:t>
  </x:si>
  <x:si>
    <x:t xml:space="preserve">Sun Oct 08 17:33:57 +0000 2017</x:t>
  </x:si>
  <x:si>
    <x:t xml:space="preserve">@AmazonHelp And another order is damaged and won't be delivered. Hmmm. Maybe I will go shopping in town tomorrow.</x:t>
  </x:si>
  <x:si>
    <x:t xml:space="preserve">Damaged, won't be delivered</x:t>
  </x:si>
  <x:si>
    <x:t xml:space="preserve">Sun Dec 03 04:17:42 +0000 2017</x:t>
  </x:si>
  <x:si>
    <x:t xml:space="preserve">@AmazonHelp Like I said, it was a sad mistake to get it converted to Amazon business. Not that you guys support much during your working hours as well, but I will repeat what I am saying from last 6 months, you need to use better and reputated courier services instead of your ATS</x:t>
  </x:si>
  <x:si>
    <x:t xml:space="preserve">No high-risk pattern; try grounded reply then human if weak match</x:t>
  </x:si>
  <x:si>
    <x:t xml:space="preserve">Sun Oct 08 15:15:50 +0000 2017</x:t>
  </x:si>
  <x:si>
    <x:t xml:space="preserve">@AmazonHelp there were no invalid, disabled or elderly friendly options. Wondering if this just a demographic of customers you don’t care 4</x:t>
  </x:si>
  <x:si>
    <x:t xml:space="preserve">Accessibility complaint</x:t>
  </x:si>
  <x:si>
    <x:t xml:space="preserve">Wed Oct 11 08:17:19 +0000 2017</x:t>
  </x:si>
  <x:si>
    <x:t xml:space="preserve">@AmazonHelp No one is assist there &amp;amp; I'm really disappointed</x:t>
  </x:si>
  <x:si>
    <x:t xml:space="preserve">Vague disappointment</x:t>
  </x:si>
  <x:si>
    <x:t xml:space="preserve">Tue Oct 10 13:05:27 +0000 2017</x:t>
  </x:si>
  <x:si>
    <x:t xml:space="preserve">@AmazonHelp We want not a job we want work at shop for a lady</x:t>
  </x:si>
  <x:si>
    <x:t xml:space="preserve">Job enquiry, unclear</x:t>
  </x:si>
  <x:si>
    <x:t xml:space="preserve">Thu Oct 12 03:33:55 +0000 2017</x:t>
  </x:si>
  <x:si>
    <x:t xml:space="preserve">@AmazonHelp yes and i replied to them like i did yesterday. I cant have my money stuck in your balance and having me locked.</x:t>
  </x:si>
  <x:si>
    <x:t xml:space="preserve">Money stuck in balance, account locked</x:t>
  </x:si>
  <x:si>
    <x:t xml:space="preserve">Tue Oct 10 09:19:35 +0000 2017</x:t>
  </x:si>
  <x:si>
    <x:t xml:space="preserve">@AmazonHelp If it wasn't for the app pinging I would of been none the wiser, I'm glad it was nothing too expensive tho 😂😂</x:t>
  </x:si>
  <x:si>
    <x:t xml:space="preserve">Casual comment</x:t>
  </x:si>
  <x:si>
    <x:t xml:space="preserve">Sat Sep 30 17:13:44 +0000 2017</x:t>
  </x:si>
  <x:si>
    <x:t xml:space="preserve">@AmazonHelp Amazon needs to stop buying companies and focus on their customer service. Which is the worst I have ever experienced. #Shameful @115821</x:t>
  </x:si>
  <x:si>
    <x:t xml:space="preserve">Public rant</x:t>
  </x:si>
  <x:si>
    <x:t xml:space="preserve">Thu Oct 05 19:38:07 +0000 2017</x:t>
  </x:si>
  <x:si>
    <x:t xml:space="preserve">@AmazonHelp The only option I was given was for them to change it for tomorrow.</x:t>
  </x:si>
  <x:si>
    <x:t xml:space="preserve">Reschedule option only</x:t>
  </x:si>
  <x:si>
    <x:t xml:space="preserve">Tue Oct 10 05:23:39 +0000 2017</x:t>
  </x:si>
  <x:si>
    <x:t xml:space="preserve">@AmazonHelp Is there only one winner in every contest?</x:t>
  </x:si>
  <x:si>
    <x:t xml:space="preserve">Contest question</x:t>
  </x:si>
  <x:si>
    <x:t xml:space="preserve">Fri Nov 24 21:19:54 +0000 2017</x:t>
  </x:si>
  <x:si>
    <x:t xml:space="preserve">@AmazonHelp bonjour, j'ai fait une commande, je voulais l'annuler mais elle était déjà en préparation d'envoi donc impossible de l'annuler. Je voulais savoir la marche à suivre pour l'annuler quand même à la réception du colis? Et si je veux garder une partie mais pas tout. Merci</x:t>
  </x:si>
  <x:si>
    <x:t xml:space="preserve">French: can't cancel order in preparation</x:t>
  </x:si>
  <x:si>
    <x:t xml:space="preserve">Wed Oct 04 15:56:18 +0000 2017</x:t>
  </x:si>
  <x:si>
    <x:t xml:space="preserve">@AmazonHelp The number with your customer care is my number where I get SMs. Courier guy insists that he called up other number</x:t>
  </x:si>
  <x:si>
    <x:t xml:space="preserve">Courier calling wrong number</x:t>
  </x:si>
  <x:si>
    <x:t xml:space="preserve">Wed Oct 11 12:58:57 +0000 2017</x:t>
  </x:si>
  <x:si>
    <x:t xml:space="preserve">@AmazonHelp Grazie mille per l'interessamento!:) Sì, la data di consegna è prevista per oggi, purtroppo però non ricordo il nome del corriere..</x:t>
  </x:si>
  <x:si>
    <x:t xml:space="preserve">Italian: delivery today, carrier unknown</x:t>
  </x:si>
  <x:si>
    <x:t xml:space="preserve">Thu Oct 05 16:38:21 +0000 2017</x:t>
  </x:si>
  <x:si>
    <x:t xml:space="preserve">@AmazonHelp @115821 @115850 hey there, i need a little help.</x:t>
  </x:si>
  <x:si>
    <x:t xml:space="preserve">Vague ask for help</x:t>
  </x:si>
  <x:si>
    <x:t xml:space="preserve">Thu Nov 23 10:11:56 +0000 2017</x:t>
  </x:si>
  <x:si>
    <x:t xml:space="preserve">@AmazonHelp Didn't get any further update</x:t>
  </x:si>
  <x:si>
    <x:t xml:space="preserve">No further update</x:t>
  </x:si>
  <x:si>
    <x:t xml:space="preserve">Wed Nov 01 14:40:13 +0000 2017</x:t>
  </x:si>
  <x:si>
    <x:t xml:space="preserve">@AmazonHelp Mmmm, ok ¿Entonces su tuiter de qué sirve?</x:t>
  </x:si>
  <x:si>
    <x:t xml:space="preserve">Spanish: what's your Twitter for</x:t>
  </x:si>
  <x:si>
    <x:t xml:space="preserve">Thu Nov 23 23:13:00 +0000 2017</x:t>
  </x:si>
  <x:si>
    <x:t xml:space="preserve">@AmazonHelp Romance e fantasia 💕</x:t>
  </x:si>
  <x:si>
    <x:t xml:space="preserve">Chit-chat</x:t>
  </x:si>
  <x:si>
    <x:t xml:space="preserve">Fri Dec 01 21:21:55 +0000 2017</x:t>
  </x:si>
  <x:si>
    <x:t xml:space="preserve">@AmazonHelp 3. tengo que esperar hasta lunes porque la oficina de recogida esta cerrada mañana y amazon.es no me deja cambiar la direction a un domicilio para que lo entregan mañana Gracias por entender mi frustración y espero que podemos encontrar una solución.</x:t>
  </x:si>
  <x:si>
    <x:t xml:space="preserve">Spanish: pickup office closed, can't change address</x:t>
  </x:si>
  <x:si>
    <x:t xml:space="preserve">Sat Dec 02 08:29:29 +0000 2017</x:t>
  </x:si>
  <x:si>
    <x:t xml:space="preserve">@AmazonHelp I understand that, however. Nowhere on the desk of the day does it say *until supplies run out*. The deal is supposed to last the full day, it didn't. The price for the game was still listed as of 10pm. https://t.co/BsZOT7nflj</x:t>
  </x:si>
  <x:si>
    <x:t xml:space="preserve">Deal price dispute</x:t>
  </x:si>
  <x:si>
    <x:t xml:space="preserve">Sun Dec 03 20:17:48 +0000 2017</x:t>
  </x:si>
  <x:si>
    <x:t xml:space="preserve">@AmazonHelp Both say "FREE UK Delivery on orders dispatched by Amazon over £20" both are dispatched by Amazon but only one sold by Amazon.</x:t>
  </x:si>
  <x:si>
    <x:t xml:space="preserve">Delivery-fee policy question</x:t>
  </x:si>
  <x:si>
    <x:t xml:space="preserve">Sun Oct 08 01:46:21 +0000 2017</x:t>
  </x:si>
  <x:si>
    <x:t xml:space="preserve">@197894 @197896 @AmazonHelp Fuck.</x:t>
  </x:si>
  <x:si>
    <x:t xml:space="preserve">Profanity only; no request</x:t>
  </x:si>
  <x:si>
    <x:t xml:space="preserve">Fri Oct 06 14:47:36 +0000 2017</x:t>
  </x:si>
  <x:si>
    <x:t xml:space="preserve">I dont know 2 whom you replying. If you cant check and reply properly then just dont reply. #Pathetic @AmazonHelp @115850</x:t>
  </x:si>
  <x:si>
    <x:t xml:space="preserve">Frustrated with previous replies</x:t>
  </x:si>
  <x:si>
    <x:t xml:space="preserve">Sat Oct 07 05:43:51 +0000 2017</x:t>
  </x:si>
  <x:si>
    <x:t xml:space="preserve">@AmazonHelp After 12pm then I told them I have also many works yesterday you guys told me you deliver in morning and suddenly you change</x:t>
  </x:si>
  <x:si>
    <x:t xml:space="preserve">Delivery time changed</x:t>
  </x:si>
  <x:si>
    <x:t xml:space="preserve">Fri Oct 06 07:15:13 +0000 2017</x:t>
  </x:si>
  <x:si>
    <x:t xml:space="preserve">Hey @AmazonHelp bought a suitcase for my Hol Sunday, paid extra for it to arrive yest.. And now it's saying it won't arrive unt 12th?</x:t>
  </x:si>
  <x:si>
    <x:t xml:space="preserve">Paid for faster delivery, late</x:t>
  </x:si>
  <x:si>
    <x:t xml:space="preserve">Wed Oct 04 23:40:06 +0000 2017</x:t>
  </x:si>
  <x:si>
    <x:t xml:space="preserve">@AmazonHelp It just says 'shipped, expected by October 3rd'</x:t>
  </x:si>
  <x:si>
    <x:t xml:space="preserve">Tracking status</x:t>
  </x:si>
  <x:si>
    <x:t xml:space="preserve">Fri Dec 01 20:59:18 +0000 2017</x:t>
  </x:si>
  <x:si>
    <x:t xml:space="preserve">@AmazonHelp meu pedido ainda nao chegou e a trasportadora nao atualiza a pagina. Entrei em contato cm vcs ontem...</x:t>
  </x:si>
  <x:si>
    <x:t xml:space="preserve">Portuguese: not arrived, carrier not updating</x:t>
  </x:si>
  <x:si>
    <x:t xml:space="preserve">Wed Nov 22 17:38:02 +0000 2017</x:t>
  </x:si>
  <x:si>
    <x:t xml:space="preserve">@AmazonHelp Recently received an order with a pamphlet asking for 5 star review for compensation. What's the best way to report this?</x:t>
  </x:si>
  <x:si>
    <x:t xml:space="preserve">Reporting incentivised-review pamphlet (seller abuse)</x:t>
  </x:si>
  <x:si>
    <x:t xml:space="preserve">Sat Oct 14 07:41:01 +0000 2017</x:t>
  </x:si>
  <x:si>
    <x:t xml:space="preserve">@AmazonHelp Again full week no follow up. Am I supposed to let time pass even further.it's been 4 https://t.co/E27BKg57V7 shld hv made ur responses btr</x:t>
  </x:si>
  <x:si>
    <x:t xml:space="preserve">Week without follow-up</x:t>
  </x:si>
  <x:si>
    <x:t xml:space="preserve">Sat Oct 07 11:28:41 +0000 2017</x:t>
  </x:si>
  <x:si>
    <x:t xml:space="preserve">@AmazonHelp Sorry doesnt work bot , you cannot fail on more than 1 committment, thats just complacency, u killed my whole day .@123288 .@115851</x:t>
  </x:si>
  <x:si>
    <x:t xml:space="preserve">Repeated failed commitments</x:t>
  </x:si>
  <x:si>
    <x:t xml:space="preserve">Thu Oct 05 15:57:31 +0000 2017</x:t>
  </x:si>
  <x:si>
    <x:t xml:space="preserve">@115821 @AmazonHelp where do I send an email regarding a textbook rental that was sent to me with extensive damage?</x:t>
  </x:si>
  <x:si>
    <x:t xml:space="preserve">Damaged textbook rental</x:t>
  </x:si>
  <x:si>
    <x:t xml:space="preserve">Thu Oct 12 05:58:33 +0000 2017</x:t>
  </x:si>
  <x:si>
    <x:t xml:space="preserve">@AmazonHelp Laisser tomber fait plusieurs fois déjà</x:t>
  </x:si>
  <x:si>
    <x:t xml:space="preserve">French: gave up</x:t>
  </x:si>
  <x:si>
    <x:t xml:space="preserve">Fri Oct 06 14:06:04 +0000 2017</x:t>
  </x:si>
  <x:si>
    <x:t xml:space="preserve">@AmazonHelp I've already done that,their own printer isn't working.</x:t>
  </x:si>
  <x:si>
    <x:t xml:space="preserve">Thu Oct 12 05:45:12 +0000 2017</x:t>
  </x:si>
  <x:si>
    <x:t xml:space="preserve">@AmazonHelp Finally you delivered my product at 11pm and I found the product with extra and new design on dial. #Scratch #Watch #amazon https://t.co/I3TmgB9hhp</x:t>
  </x:si>
  <x:si>
    <x:t xml:space="preserve">Scratched watch</x:t>
  </x:si>
  <x:si>
    <x:t xml:space="preserve">Sun Dec 03 15:37:49 +0000 2017</x:t>
  </x:si>
  <x:si>
    <x:t xml:space="preserve">@AmazonHelp You can keep saying that What will I do I can't understand</x:t>
  </x:si>
  <x:si>
    <x:t xml:space="preserve">Fri Dec 01 19:10:58 +0000 2017</x:t>
  </x:si>
  <x:si>
    <x:t xml:space="preserve">@AmazonHelp Why am I not surprised this still is unresolved</x:t>
  </x:si>
  <x:si>
    <x:t xml:space="preserve">Unresolved, frustrated</x:t>
  </x:si>
  <x:si>
    <x:t xml:space="preserve">Thu Oct 12 07:32:12 +0000 2017</x:t>
  </x:si>
  <x:si>
    <x:t xml:space="preserve">@AmazonHelp Still no one has got in touch about the complaint. Please let me know what happens guys. I was to receive the phone on Monday?</x:t>
  </x:si>
  <x:si>
    <x:t xml:space="preserve">No contact about complaint</x:t>
  </x:si>
  <x:si>
    <x:t xml:space="preserve">Sat Dec 02 23:21:34 +0000 2017</x:t>
  </x:si>
  <x:si>
    <x:t xml:space="preserve">@AmazonHelp Creo que solo una #cobija para el frío el tamaño ni mandado hacer gracias , hicieron felices a más de uno #excelenteservicio</x:t>
  </x:si>
  <x:si>
    <x:t xml:space="preserve">Spanish: thanks</x:t>
  </x:si>
  <x:si>
    <x:t xml:space="preserve">Wed Nov 01 16:07:49 +0000 2017</x:t>
  </x:si>
  <x:si>
    <x:t xml:space="preserve">@AmazonHelp Using my own brain, I selected a different language and after multiple attempts I was able to reach a human voice.</x:t>
  </x:si>
  <x:si>
    <x:t xml:space="preserve">Found a way through IVR</x:t>
  </x:si>
  <x:si>
    <x:t xml:space="preserve">Sat Oct 07 13:35:49 +0000 2017</x:t>
  </x:si>
  <x:si>
    <x:t xml:space="preserve">@AmazonHelp I'm not in India, I'm in the US. Captions are necessary for people who are deaf and hard of hearing.</x:t>
  </x:si>
  <x:si>
    <x:t xml:space="preserve">Captions/accessibility for Prime Video</x:t>
  </x:si>
  <x:si>
    <x:t xml:space="preserve">Thu Oct 05 11:15:08 +0000 2017</x:t>
  </x:si>
  <x:si>
    <x:t xml:space="preserve">@AmazonHelp bought a power bank few months ago, used twice and now it won’t charge. Seen loads of other reviews same problem, what do I do?</x:t>
  </x:si>
  <x:si>
    <x:t xml:space="preserve">Power bank stopped charging</x:t>
  </x:si>
  <x:si>
    <x:t xml:space="preserve">Tue Oct 10 16:20:59 +0000 2017</x:t>
  </x:si>
  <x:si>
    <x:t xml:space="preserve">@AmazonHelp Nope, there’s nowhere to do it. All I can input is a security access code which isn’t long enough</x:t>
  </x:si>
  <x:si>
    <x:t xml:space="preserve">Fri Nov 24 00:08:42 +0000 2017</x:t>
  </x:si>
  <x:si>
    <x:t xml:space="preserve">@AmazonHelp Keeps saying "something's wrong here" when adding new shopping location and then crashes. Now I've missed the deal 🤷🏽‍♀️</x:t>
  </x:si>
  <x:si>
    <x:t xml:space="preserve">App crash</x:t>
  </x:si>
  <x:si>
    <x:t xml:space="preserve">Sun Oct 08 13:09:53 +0000 2017</x:t>
  </x:si>
  <x:si>
    <x:t xml:space="preserve">@AmazonHelp Which one I m confused. Haven’t you seen the chain of replies I have received today. Pls be specific.</x:t>
  </x:si>
  <x:si>
    <x:t xml:space="preserve">Confused by replies</x:t>
  </x:si>
  <x:si>
    <x:t xml:space="preserve">Thu Oct 05 19:25:19 +0000 2017</x:t>
  </x:si>
  <x:si>
    <x:t xml:space="preserve">@AmazonHelp My order didn't delivered to me,, misleading by customers care person,, cod blocked though there is not my fault at all,,</x:t>
  </x:si>
  <x:si>
    <x:t xml:space="preserve">Not delivered; COD blocked</x:t>
  </x:si>
  <x:si>
    <x:t xml:space="preserve">Sun Nov 26 06:42:43 +0000 2017</x:t>
  </x:si>
  <x:si>
    <x:t xml:space="preserve">@AmazonHelp Thank you very much for your service.....</x:t>
  </x:si>
  <x:si>
    <x:t xml:space="preserve">Thanks</x:t>
  </x:si>
  <x:si>
    <x:t xml:space="preserve">Thu Sep 21 13:34:59 +0000 2017</x:t>
  </x:si>
  <x:si>
    <x:t xml:space="preserve">@AmazonHelp Checked again. No option to attach anything. Chose options More non-order questions - Community Discussions. Anyway sent msg without it</x:t>
  </x:si>
  <x:si>
    <x:t xml:space="preserve">Contact form options</x:t>
  </x:si>
  <x:si>
    <x:t xml:space="preserve">Rule</x:t>
  </x:si>
  <x:si>
    <x:t xml:space="preserve">Detail</x:t>
  </x:si>
  <x:si>
    <x:t xml:space="preserve">Label = topic, not tone</x:t>
  </x:si>
  <x:si>
    <x:t xml:space="preserve">Pick the intent by what the message is about. Anger never changes the intent; it can change the route.</x:t>
  </x:si>
  <x:si>
    <x:t xml:space="preserve">Confidence = certainty</x:t>
  </x:si>
  <x:si>
    <x:t xml:space="preserve">HIGH: you would bet on this label. MEDIUM: plausible alternative exists. LOW: context missing (reply fragment, screenshot, unclear).</x:t>
  </x:si>
  <x:si>
    <x:t xml:space="preserve">Late, ETA, tracking, not dispatched, delivery-handling feedback where the item arrived. Default auto.</x:t>
  </x:si>
  <x:si>
    <x:t xml:space="preserve">Marked delivered but not received, lost in transit, false attempt claims, long overdue. Default escalate (needs account lookup / investigation).</x:t>
  </x:si>
  <x:si>
    <x:t xml:space="preserve">Returns, refund status, wrong item received, double charges and other billing. Refund/charge chases escalate; how-to and policy questions auto.</x:t>
  </x:si>
  <x:si>
    <x:t xml:space="preserve">Damaged, defective, leaked, broken on arrival. Default auto (replacement flow); escalate if repeated or refund dispute.</x:t>
  </x:si>
  <x:si>
    <x:t xml:space="preserve">Cancelling or changing orders, orders cancelled by Amazon. Default auto.</x:t>
  </x:si>
  <x:si>
    <x:t xml:space="preserve">Login, lockouts, hacks, Prime membership, Kindle/device, Amazon Pay. Security and money issues escalate; Prime questions auto.</x:t>
  </x:si>
  <x:si>
    <x:t xml:space="preserve">Status chases with no topic, acknowledgements, chit-chat, rants with no request, UX/app feedback, contact-channel problems.</x:t>
  </x:si>
  <x:si>
    <x:t xml:space="preserve">Always escalate</x:t>
  </x:si>
  <x:si>
    <x:t xml:space="preserve">Account security or fraud; card/PII in tweet; agent misconduct; unresolved status chases on an existing case; carrier property damage; seller abuse reports.</x:t>
  </x:si>
  <x:si>
    <x:t xml:space="preserve">Not PII</x:t>
  </x:si>
  <x:si>
    <x:t xml:space="preserve">Order numbers and Amazon's own helpline numbers are not customer PII and do not force escalation.</x:t>
  </x:si>
  <x:si>
    <x:t xml:space="preserve">Draft status</x:t>
  </x:si>
  <x:si>
    <x:t xml:space="preserve">All gold labels are Claude drafts (reviewer = claude_draft). Review every row, starting with needs_review = TRUE, and put your name in reviewer.</x:t>
  </x:si>
</x:sst>
</file>

<file path=xl/styles.xml><?xml version="1.0" encoding="utf-8"?>
<x:styleSheet xmlns:x="http://schemas.openxmlformats.org/spreadsheetml/2006/main">
  <x:numFmts count="3">
    <x:numFmt numFmtId="164" formatCode="General"/>
    <x:numFmt numFmtId="165" formatCode="0.0%"/>
    <x:numFmt numFmtId="166" formatCode="General"/>
  </x:numFmts>
  <x:fonts count="8">
    <x:font>
      <x:sz val="11"/>
      <x:color theme="1"/>
      <x:name val="Calibri"/>
    </x:font>
    <x:font>
      <x:sz val="10"/>
      <x:name val="Arial"/>
    </x:font>
    <x:font>
      <x:sz val="10"/>
      <x:name val="Arial"/>
    </x:font>
    <x:font>
      <x:sz val="10"/>
      <x:name val="Arial"/>
    </x:font>
    <x:font>
      <x:b/>
      <x:sz val="13"/>
      <x:name val="Arial"/>
    </x:font>
    <x:font>
      <x:b/>
      <x:sz val="10"/>
      <x:name val="Arial"/>
    </x:font>
    <x:font>
      <x:sz val="10"/>
      <x:name val="Arial"/>
    </x:font>
    <x:font>
      <x:b/>
      <x:sz val="11"/>
      <x:color rgb="FFFFFFFF"/>
      <x:name val="Arial"/>
    </x:font>
  </x:fonts>
  <x:fills count="4">
    <x:fill>
      <x:patternFill patternType="none"/>
    </x:fill>
    <x:fill>
      <x:patternFill patternType="gray125"/>
    </x:fill>
    <x:fill>
      <x:patternFill patternType="solid">
        <x:fgColor rgb="FF1F3864"/>
      </x:patternFill>
    </x:fill>
    <x:fill>
      <x:patternFill patternType="solid">
        <x:fgColor rgb="FFFFF2CC"/>
      </x:patternFill>
    </x:fill>
  </x:fills>
  <x:borders count="2">
    <x:border diagonalUp="0" diagonalDown="0"/>
    <x:border diagonalUp="0" diagonalDown="0"/>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24">
    <x:xf numFmtId="164" fontId="0" fillId="0" borderId="0" xfId="0" applyFont="0" applyBorder="0" applyAlignment="0">
      <x:alignment horizontal="general" vertical="bottom" wrapText="0"/>
    </x:xf>
    <x:xf numFmtId="164" fontId="4" fillId="0" borderId="0" xfId="0" applyFont="1" applyBorder="0" applyAlignment="0">
      <x:alignment horizontal="general" vertical="bottom" wrapText="0"/>
    </x:xf>
    <x:xf numFmtId="164" fontId="5" fillId="0" borderId="0" xfId="0" applyFont="1" applyBorder="0" applyAlignment="0">
      <x:alignment horizontal="general" vertical="bottom" wrapText="0"/>
    </x:xf>
    <x:xf numFmtId="164" fontId="6" fillId="0" borderId="0" xfId="0" applyFont="1" applyBorder="0" applyAlignment="0">
      <x:alignment horizontal="general" vertical="bottom" wrapText="0"/>
    </x:xf>
    <x:xf numFmtId="165" fontId="6" fillId="0" borderId="0" xfId="0" applyFont="1" applyBorder="0" applyAlignment="0">
      <x:alignment horizontal="general" vertical="bottom" wrapText="0"/>
    </x:xf>
    <x:xf numFmtId="164" fontId="7" fillId="2" borderId="0" xfId="0" applyFont="1" applyBorder="0" applyAlignment="1">
      <x:alignment horizontal="general" vertical="center" wrapText="1"/>
    </x:xf>
    <x:xf numFmtId="164" fontId="6" fillId="0" borderId="0" xfId="0" applyFont="1" applyBorder="0" applyAlignment="1">
      <x:alignment horizontal="general" vertical="top" wrapText="0"/>
    </x:xf>
    <x:xf numFmtId="164" fontId="6" fillId="0" borderId="0" xfId="0" applyFont="1" applyBorder="0" applyAlignment="1">
      <x:alignment horizontal="general" vertical="top" wrapText="1"/>
    </x:xf>
    <x:xf numFmtId="164" fontId="6" fillId="3" borderId="0" xfId="0" applyFont="1" applyBorder="0" applyAlignment="1">
      <x:alignment horizontal="general" vertical="top" wrapText="0"/>
    </x:xf>
    <x:xf numFmtId="164" fontId="6" fillId="3" borderId="0" xfId="0" applyFont="1" applyBorder="0" applyAlignment="1">
      <x:alignment horizontal="general" vertical="top" wrapText="1"/>
    </x:xf>
    <x:xf numFmtId="166" fontId="6" fillId="0" borderId="0" xfId="0" applyFont="1" applyBorder="0" applyAlignment="1">
      <x:alignment horizontal="general" vertical="top" wrapText="0"/>
    </x:xf>
    <x:xf numFmtId="164" fontId="7" fillId="2" borderId="0" xfId="0" applyFont="1" applyBorder="0" applyAlignment="0">
      <x:alignment horizontal="general" vertical="bottom" wrapText="0"/>
    </x:xf>
    <x:xf numFmtId="164" fontId="6" fillId="3" borderId="0" xfId="0" applyFont="1" applyBorder="0" applyAlignment="1">
      <x:alignment horizontal="general" vertical="top" wrapText="0"/>
      <x:extLst>
        <x:ext uri="{C7286773-470A-42A8-94C5-96B5CB345126}">
          <xfpb:xfComplement xmlns:xfpb="http://schemas.microsoft.com/office/spreadsheetml/2022/featurepropertybag" i="0"/>
        </x:ext>
      </x:extLst>
    </x:xf>
    <x:xf numFmtId="164" fontId="0" fillId="0" borderId="1" xfId="0" applyNumberFormat="1" applyFont="1" applyFill="1" applyBorder="1" applyAlignment="1">
      <x:alignment horizontal="general" vertical="bottom" wrapText="0"/>
    </x:xf>
    <x:xf numFmtId="164" fontId="4" fillId="0" borderId="1" xfId="0" applyNumberFormat="1" applyFont="1" applyFill="1" applyBorder="1" applyAlignment="1">
      <x:alignment horizontal="general" vertical="bottom" wrapText="0"/>
    </x:xf>
    <x:xf numFmtId="164" fontId="5" fillId="0" borderId="1" xfId="0" applyNumberFormat="1" applyFont="1" applyFill="1" applyBorder="1" applyAlignment="1">
      <x:alignment horizontal="general" vertical="bottom" wrapText="0"/>
    </x:xf>
    <x:xf numFmtId="164" fontId="1" fillId="0" borderId="1" xfId="0" applyNumberFormat="1" applyFont="1" applyFill="1" applyBorder="1" applyAlignment="1">
      <x:alignment horizontal="general" vertical="bottom" wrapText="0"/>
    </x:xf>
    <x:xf numFmtId="165" fontId="1" fillId="0" borderId="1" xfId="0" applyNumberFormat="1" applyFont="1" applyFill="1" applyBorder="1" applyAlignment="1">
      <x:alignment horizontal="general" vertical="bottom" wrapText="0"/>
    </x:xf>
    <x:xf numFmtId="164" fontId="7" fillId="2" borderId="1" xfId="0" applyNumberFormat="1" applyFont="1" applyFill="1" applyBorder="1" applyAlignment="1">
      <x:alignment horizontal="general" vertical="center" wrapText="1"/>
    </x:xf>
    <x:xf numFmtId="164" fontId="1" fillId="0" borderId="1" xfId="0" applyNumberFormat="1" applyFont="1" applyFill="1" applyBorder="1" applyAlignment="1">
      <x:alignment horizontal="general" vertical="top" wrapText="0"/>
    </x:xf>
    <x:xf numFmtId="164" fontId="1" fillId="0" borderId="1" xfId="0" applyNumberFormat="1" applyFont="1" applyFill="1" applyBorder="1" applyAlignment="1">
      <x:alignment horizontal="general" vertical="top" wrapText="1"/>
    </x:xf>
    <x:xf numFmtId="164" fontId="1" fillId="3" borderId="1" xfId="0" applyNumberFormat="1" applyFont="1" applyFill="1" applyBorder="1" applyAlignment="1">
      <x:alignment horizontal="general" vertical="top" wrapText="0"/>
    </x:xf>
    <x:xf numFmtId="164" fontId="1" fillId="3" borderId="1" xfId="0" applyNumberFormat="1" applyFont="1" applyFill="1" applyBorder="1" applyAlignment="1">
      <x:alignment horizontal="general" vertical="top" wrapText="1"/>
    </x:xf>
    <x:xf numFmtId="164" fontId="7" fillId="2" borderId="1" xfId="0" applyNumberFormat="1" applyFont="1" applyFill="1" applyBorder="1" applyAlignment="1">
      <x:alignment horizontal="general" vertical="bottom" wrapText="0"/>
    </x:xf>
  </x:cellXfs>
  <x:cellStyles count="6">
    <x:cellStyle name="Normal" xfId="0"/>
    <x:cellStyle name="Comma" xfId="15"/>
    <x:cellStyle name="Comma [0]" xfId="16"/>
    <x:cellStyle name="Currency" xfId="17"/>
    <x:cellStyle name="Currency [0]" xfId="18"/>
    <x:cellStyle name="Percent" xfId="19"/>
  </x:cellStyles>
  <x:dxfs count="6">
    <x:dxf>
      <x:fill>
        <x:patternFill>
          <x:bgColor rgb="FF1F3864"/>
        </x:patternFill>
      </x:fill>
    </x:dxf>
    <x:dxf>
      <x:fill>
        <x:patternFill>
          <x:bgColor rgb="FF000000"/>
        </x:patternFill>
      </x:fill>
    </x:dxf>
    <x:dxf>
      <x:fill>
        <x:patternFill>
          <x:bgColor rgb="FFFFFFFF"/>
        </x:patternFill>
      </x:fill>
    </x:dxf>
    <x:dxf>
      <x:fill>
        <x:patternFill>
          <x:bgColor rgb="FFFFF2CC"/>
        </x:patternFill>
      </x:fill>
    </x:dxf>
    <x:dxf>
      <x:fill>
        <x:patternFill>
          <x:bgColor rgb="FFF8CBAD"/>
        </x:patternFill>
      </x:fill>
    </x:dxf>
    <x:dxf>
      <x:fill>
        <x:patternFill>
          <x:bgColor rgb="FFF8CBAD"/>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93366"/>
      <x:rgbColor rgb="FFFFF2CC"/>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8CBAD"/>
      <x:rgbColor rgb="FF3366FF"/>
      <x:rgbColor rgb="FF33CCCC"/>
      <x:rgbColor rgb="FF99CC00"/>
      <x:rgbColor rgb="FFFFCC00"/>
      <x:rgbColor rgb="FFFF9900"/>
      <x:rgbColor rgb="FFFF6600"/>
      <x:rgbColor rgb="FF666699"/>
      <x:rgbColor rgb="FF969696"/>
      <x:rgbColor rgb="FF1F3864"/>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f9a317a25ea4e59" /><Relationship Type="http://schemas.openxmlformats.org/officeDocument/2006/relationships/theme" Target="/xl/theme/theme1.xml" Id="R06ef40df07104b05" /><Relationship Type="http://schemas.microsoft.com/office/2022/11/relationships/FeaturePropertyBag" Target="/xl/featurePropertyBag/featurePropertyBag.xml" Id="Rb22f20022c6e4016" /><Relationship Type="http://schemas.openxmlformats.org/officeDocument/2006/relationships/sharedStrings" Target="/xl/sharedStrings.xml" Id="Rfa959855f3c449df" /><Relationship Type="http://schemas.openxmlformats.org/officeDocument/2006/relationships/worksheet" Target="/xl/worksheets/sheet1.xml" Id="Rfccb3100348044ac" /><Relationship Type="http://schemas.openxmlformats.org/officeDocument/2006/relationships/worksheet" Target="/xl/worksheets/sheet2.xml" Id="Rc376ea6c9a56422f" /><Relationship Type="http://schemas.openxmlformats.org/officeDocument/2006/relationships/worksheet" Target="/xl/worksheets/sheet3.xml" Id="R150b032d96e0432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Views>
    <x:sheetView showGridLines="1" workbookViewId="0"/>
  </x:sheetViews>
  <x:sheetFormatPr defaultColWidth="8.6796875" defaultRowHeight="15"/>
  <x:cols>
    <x:col min="1" max="1" width="44" hidden="0" customWidth="1"/>
    <x:col min="2" max="2" width="12" hidden="0" customWidth="1"/>
    <x:col min="3" max="3" width="58" hidden="0" customWidth="1"/>
    <x:col min="4" max="4" width="12" hidden="0" customWidth="1"/>
    <x:col min="5" max="5" width="10" hidden="0" customWidth="1"/>
  </x:cols>
  <x:sheetData>
    <x:row r="1" ht="16.149999618530273" hidden="0">
      <x:c r="A1" s="1" t="s">
        <x:v>0</x:v>
      </x:c>
    </x:row>
    <x:row r="2" ht="15" hidden="0">
      <x:c r="A2" s="2" t="s">
        <x:v>1</x:v>
      </x:c>
      <x:c r="B2" s="2" t="s">
        <x:v>2</x:v>
      </x:c>
      <x:c r="C2" s="2" t="s">
        <x:v>3</x:v>
      </x:c>
      <x:c r="D2" s="2"/>
      <x:c r="E2" s="2"/>
    </x:row>
    <x:row r="3" ht="15" hidden="0">
      <x:c r="A3" s="3" t="s">
        <x:v>4</x:v>
      </x:c>
      <x:c r="B3" s="4" t="n">
        <x:f aca="0">AVERAGE(eval_250!N2:N251)</x:f>
        <x:v>0.576</x:v>
      </x:c>
      <x:c r="C3" s="3" t="s">
        <x:v>5</x:v>
      </x:c>
      <x:c r="D3" s="3"/>
      <x:c r="E3" s="3"/>
    </x:row>
    <x:row r="4" ht="15" hidden="0">
      <x:c r="A4" s="3" t="s">
        <x:v>6</x:v>
      </x:c>
      <x:c r="B4" s="4" t="n">
        <x:f aca="0">AVERAGE(eval_250!O2:O251)</x:f>
        <x:v>0.584</x:v>
      </x:c>
      <x:c r="C4" s="3" t="s">
        <x:v>7</x:v>
      </x:c>
      <x:c r="D4" s="3"/>
      <x:c r="E4" s="3"/>
    </x:row>
    <x:row r="5" ht="15" hidden="0">
      <x:c r="A5" s="3" t="s">
        <x:v>8</x:v>
      </x:c>
      <x:c r="B5" s="4" t="n">
        <x:f aca="0">SUMPRODUCT(eval_250!N2:N251,eval_250!O2:O251)/250</x:f>
        <x:v>0.396</x:v>
      </x:c>
      <x:c r="C5" s="3"/>
      <x:c r="D5" s="3"/>
      <x:c r="E5" s="3"/>
    </x:row>
    <x:row r="6" ht="15" hidden="0">
      <x:c r="A6" s="3" t="s">
        <x:v>9</x:v>
      </x:c>
      <x:c r="B6" s="3" t="n">
        <x:f aca="0">COUNTIFS(eval_250!I2:I251,"escalate",eval_250!F2:F251,"auto")</x:f>
        <x:v>76</x:v>
      </x:c>
      <x:c r="C6" s="3" t="s">
        <x:v>10</x:v>
      </x:c>
      <x:c r="D6" s="3"/>
      <x:c r="E6" s="3"/>
    </x:row>
    <x:row r="7" ht="15" hidden="0">
      <x:c r="A7" s="3" t="s">
        <x:v>11</x:v>
      </x:c>
      <x:c r="B7" s="3" t="n">
        <x:f aca="0">COUNTIFS(eval_250!I2:I251,"auto",eval_250!F2:F251,"escalate")</x:f>
        <x:v>28</x:v>
      </x:c>
      <x:c r="C7" s="3" t="s">
        <x:v>12</x:v>
      </x:c>
      <x:c r="D7" s="3"/>
      <x:c r="E7" s="3"/>
    </x:row>
    <x:row r="8" ht="15" hidden="0">
      <x:c r="A8" s="3" t="s">
        <x:v>13</x:v>
      </x:c>
      <x:c r="B8" s="4" t="n">
        <x:f aca="0">IFERROR(COUNTIFS(eval_250!I2:I251,"escalate",eval_250!F2:F251,"escalate")/COUNTIF(eval_250!I2:I251,"escalate"),0)</x:f>
        <x:v>0.2897196261682243</x:v>
      </x:c>
      <x:c r="C8" s="3" t="s">
        <x:v>14</x:v>
      </x:c>
      <x:c r="D8" s="3"/>
      <x:c r="E8" s="3"/>
    </x:row>
    <x:row r="9" ht="15" hidden="0">
      <x:c r="A9" s="3" t="s">
        <x:v>15</x:v>
      </x:c>
      <x:c r="B9" s="3" t="n">
        <x:f aca="0">COUNTIF(eval_250!L2:L251,"TRUE")</x:f>
        <x:v>7</x:v>
      </x:c>
      <x:c r="C9" s="3"/>
      <x:c r="D9" s="3"/>
      <x:c r="E9" s="3"/>
    </x:row>
    <x:row r="10" ht="15" hidden="0">
      <x:c r="A10" s="3" t="str">
        <x:v>Rows reviewed by annotator</x:v>
      </x:c>
      <x:c r="B10" s="3" t="n">
        <x:f aca="0">COUNTA(eval_250!M2:M251)-COUNTIF(eval_250!M2:M251,"claude_draft")</x:f>
        <x:v>125</x:v>
      </x:c>
      <x:c r="C10" s="3" t="str">
        <x:v>GPT-5.6 adjudication; not equivalent to independent human sign-off</x:v>
      </x:c>
      <x:c r="D10" s="3"/>
      <x:c r="E10" s="3"/>
    </x:row>
    <x:row r="11" ht="15" hidden="0">
      <x:c r="A11" s="3"/>
      <x:c r="B11" s="3"/>
      <x:c r="C11" s="3"/>
      <x:c r="D11" s="3"/>
      <x:c r="E11" s="3"/>
    </x:row>
    <x:row r="12" ht="15" hidden="0">
      <x:c r="A12" s="2" t="s">
        <x:v>16</x:v>
      </x:c>
      <x:c r="B12" s="2" t="s">
        <x:v>17</x:v>
      </x:c>
      <x:c r="C12" s="2" t="s">
        <x:v>18</x:v>
      </x:c>
      <x:c r="D12" s="2" t="s">
        <x:v>19</x:v>
      </x:c>
      <x:c r="E12" s="2" t="s">
        <x:v>20</x:v>
      </x:c>
    </x:row>
    <x:row r="13" ht="15" hidden="0">
      <x:c r="A13" s="3" t="s">
        <x:v>21</x:v>
      </x:c>
      <x:c r="B13" s="3" t="n">
        <x:f aca="0">COUNTIF(eval_250!H$2:H$251,A13)</x:f>
        <x:v>48</x:v>
      </x:c>
      <x:c r="C13" s="3" t="n">
        <x:f aca="0">COUNTIF(eval_250!E$2:E$251,A13)</x:f>
        <x:v>50</x:v>
      </x:c>
      <x:c r="D13" s="3" t="n">
        <x:f aca="0">COUNTIFS(eval_250!H$2:H$251,A13,eval_250!N$2:N$251,1)</x:f>
        <x:v>19</x:v>
      </x:c>
      <x:c r="E13" s="4" t="n">
        <x:f aca="0">IFERROR(D13/B13,0)</x:f>
        <x:v>0.3958333333333333</x:v>
      </x:c>
    </x:row>
    <x:row r="14" ht="15" hidden="0">
      <x:c r="A14" s="3" t="s">
        <x:v>22</x:v>
      </x:c>
      <x:c r="B14" s="3" t="n">
        <x:f aca="0">COUNTIF(eval_250!H$2:H$251,A14)</x:f>
        <x:v>33</x:v>
      </x:c>
      <x:c r="C14" s="3" t="n">
        <x:f aca="0">COUNTIF(eval_250!E$2:E$251,A14)</x:f>
        <x:v>35</x:v>
      </x:c>
      <x:c r="D14" s="3" t="n">
        <x:f aca="0">COUNTIFS(eval_250!H$2:H$251,A14,eval_250!N$2:N$251,1)</x:f>
        <x:v>16</x:v>
      </x:c>
      <x:c r="E14" s="4" t="n">
        <x:f aca="0">IFERROR(D14/B14,0)</x:f>
        <x:v>0.48484848484848486</x:v>
      </x:c>
    </x:row>
    <x:row r="15" ht="15" hidden="0">
      <x:c r="A15" s="3" t="s">
        <x:v>23</x:v>
      </x:c>
      <x:c r="B15" s="3" t="n">
        <x:f aca="0">COUNTIF(eval_250!H$2:H$251,A15)</x:f>
        <x:v>40</x:v>
      </x:c>
      <x:c r="C15" s="3" t="n">
        <x:f aca="0">COUNTIF(eval_250!E$2:E$251,A15)</x:f>
        <x:v>45</x:v>
      </x:c>
      <x:c r="D15" s="3" t="n">
        <x:f aca="0">COUNTIFS(eval_250!H$2:H$251,A15,eval_250!N$2:N$251,1)</x:f>
        <x:v>31</x:v>
      </x:c>
      <x:c r="E15" s="4" t="n">
        <x:f aca="0">IFERROR(D15/B15,0)</x:f>
        <x:v>0.775</x:v>
      </x:c>
    </x:row>
    <x:row r="16" ht="15" hidden="0">
      <x:c r="A16" s="3" t="s">
        <x:v>24</x:v>
      </x:c>
      <x:c r="B16" s="3" t="n">
        <x:f aca="0">COUNTIF(eval_250!H$2:H$251,A16)</x:f>
        <x:v>18</x:v>
      </x:c>
      <x:c r="C16" s="3" t="n">
        <x:f aca="0">COUNTIF(eval_250!E$2:E$251,A16)</x:f>
        <x:v>20</x:v>
      </x:c>
      <x:c r="D16" s="3" t="n">
        <x:f aca="0">COUNTIFS(eval_250!H$2:H$251,A16,eval_250!N$2:N$251,1)</x:f>
        <x:v>11</x:v>
      </x:c>
      <x:c r="E16" s="4" t="n">
        <x:f aca="0">IFERROR(D16/B16,0)</x:f>
        <x:v>0.6111111111111112</x:v>
      </x:c>
    </x:row>
    <x:row r="17" ht="15" hidden="0">
      <x:c r="A17" s="3" t="s">
        <x:v>25</x:v>
      </x:c>
      <x:c r="B17" s="3" t="n">
        <x:f aca="0">COUNTIF(eval_250!H$2:H$251,A17)</x:f>
        <x:v>20</x:v>
      </x:c>
      <x:c r="C17" s="3" t="n">
        <x:f aca="0">COUNTIF(eval_250!E$2:E$251,A17)</x:f>
        <x:v>25</x:v>
      </x:c>
      <x:c r="D17" s="3" t="n">
        <x:f aca="0">COUNTIFS(eval_250!H$2:H$251,A17,eval_250!N$2:N$251,1)</x:f>
        <x:v>18</x:v>
      </x:c>
      <x:c r="E17" s="4" t="n">
        <x:f aca="0">IFERROR(D17/B17,0)</x:f>
        <x:v>0.9</x:v>
      </x:c>
    </x:row>
    <x:row r="18" ht="15" hidden="0">
      <x:c r="A18" s="3" t="s">
        <x:v>26</x:v>
      </x:c>
      <x:c r="B18" s="3" t="n">
        <x:f aca="0">COUNTIF(eval_250!H$2:H$251,A18)</x:f>
        <x:v>30</x:v>
      </x:c>
      <x:c r="C18" s="3" t="n">
        <x:f aca="0">COUNTIF(eval_250!E$2:E$251,A18)</x:f>
        <x:v>30</x:v>
      </x:c>
      <x:c r="D18" s="3" t="n">
        <x:f aca="0">COUNTIFS(eval_250!H$2:H$251,A18,eval_250!N$2:N$251,1)</x:f>
        <x:v>20</x:v>
      </x:c>
      <x:c r="E18" s="4" t="n">
        <x:f aca="0">IFERROR(D18/B18,0)</x:f>
        <x:v>0.6666666666666666</x:v>
      </x:c>
    </x:row>
    <x:row r="19" ht="15" hidden="0">
      <x:c r="A19" s="3" t="s">
        <x:v>27</x:v>
      </x:c>
      <x:c r="B19" s="3" t="n">
        <x:f aca="0">COUNTIF(eval_250!H$2:H$251,A19)</x:f>
        <x:v>61</x:v>
      </x:c>
      <x:c r="C19" s="3" t="n">
        <x:f aca="0">COUNTIF(eval_250!E$2:E$251,A19)</x:f>
        <x:v>45</x:v>
      </x:c>
      <x:c r="D19" s="3" t="n">
        <x:f aca="0">COUNTIFS(eval_250!H$2:H$251,A19,eval_250!N$2:N$251,1)</x:f>
        <x:v>29</x:v>
      </x:c>
      <x:c r="E19" s="4" t="n">
        <x:f aca="0">IFERROR(D19/B19,0)</x:f>
        <x:v>0.47540983606557374</x:v>
      </x:c>
    </x:row>
  </x:sheetData>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ColWidth="8.6796875" defaultRowHeight="15"/>
  <x:cols>
    <x:col min="1" max="1" width="5" hidden="0" customWidth="1"/>
    <x:col min="2" max="2" width="10" hidden="0" customWidth="1"/>
    <x:col min="3" max="3" width="14" hidden="0" customWidth="1"/>
    <x:col min="4" max="4" width="60" hidden="0" customWidth="1"/>
    <x:col min="5" max="5" width="16" hidden="0" customWidth="1"/>
    <x:col min="6" max="6" width="10" hidden="0" customWidth="1"/>
    <x:col min="7" max="7" width="28" hidden="0" customWidth="1"/>
    <x:col min="8" max="8" width="16" hidden="0" customWidth="1"/>
    <x:col min="9" max="9" width="10" hidden="0" customWidth="1"/>
    <x:col min="10" max="10" width="11" hidden="0" customWidth="1"/>
    <x:col min="11" max="11" width="40" hidden="0" customWidth="1"/>
    <x:col min="12" max="12" width="10" hidden="0" customWidth="1"/>
    <x:col min="13" max="13" width="12" hidden="0" customWidth="1"/>
    <x:col min="14" max="15" width="9" hidden="0" customWidth="1"/>
  </x:cols>
  <x:sheetData>
    <x:row r="1" ht="39.54999923706055" hidden="0">
      <x:c r="A1" s="5" t="s">
        <x:v>28</x:v>
      </x:c>
      <x:c r="B1" s="5" t="s">
        <x:v>29</x:v>
      </x:c>
      <x:c r="C1" s="5" t="s">
        <x:v>30</x:v>
      </x:c>
      <x:c r="D1" s="5" t="s">
        <x:v>31</x:v>
      </x:c>
      <x:c r="E1" s="5" t="s">
        <x:v>32</x:v>
      </x:c>
      <x:c r="F1" s="5" t="s">
        <x:v>33</x:v>
      </x:c>
      <x:c r="G1" s="5" t="s">
        <x:v>34</x:v>
      </x:c>
      <x:c r="H1" s="5" t="s">
        <x:v>35</x:v>
      </x:c>
      <x:c r="I1" s="5" t="s">
        <x:v>36</x:v>
      </x:c>
      <x:c r="J1" s="5" t="s">
        <x:v>37</x:v>
      </x:c>
      <x:c r="K1" s="5" t="s">
        <x:v>38</x:v>
      </x:c>
      <x:c r="L1" s="5" t="s">
        <x:v>39</x:v>
      </x:c>
      <x:c r="M1" s="5" t="s">
        <x:v>40</x:v>
      </x:c>
      <x:c r="N1" s="5" t="s">
        <x:v>41</x:v>
      </x:c>
      <x:c r="O1" s="5" t="s">
        <x:v>42</x:v>
      </x:c>
    </x:row>
    <x:row r="2" ht="35.04999923706055" hidden="0">
      <x:c r="A2" s="6" t="n">
        <x:v>1</x:v>
      </x:c>
      <x:c r="B2" s="6" t="n">
        <x:v>19427</x:v>
      </x:c>
      <x:c r="C2" s="6" t="s">
        <x:v>43</x:v>
      </x:c>
      <x:c r="D2" s="7" t="s">
        <x:v>44</x:v>
      </x:c>
      <x:c r="E2" s="6" t="s">
        <x:v>21</x:v>
      </x:c>
      <x:c r="F2" s="6" t="s">
        <x:v>45</x:v>
      </x:c>
      <x:c r="G2" s="7" t="s">
        <x:v>46</x:v>
      </x:c>
      <x:c r="H2" s="8" t="s">
        <x:v>21</x:v>
      </x:c>
      <x:c r="I2" s="8" t="s">
        <x:v>45</x:v>
      </x:c>
      <x:c r="J2" s="8" t="s">
        <x:v>47</x:v>
      </x:c>
      <x:c r="K2" s="9" t="s">
        <x:v>48</x:v>
      </x:c>
      <x:c r="L2" s="8" t="str">
        <x:v>FALSE</x:v>
      </x:c>
      <x:c r="M2" s="8" t="str">
        <x:v>GPT-5.6</x:v>
      </x:c>
      <x:c r="N2" s="10" t="n">
        <x:f aca="0">IF(E2=H2,1,0)</x:f>
        <x:v>1</x:v>
      </x:c>
      <x:c r="O2" s="10" t="n">
        <x:f aca="0">IF(F2=I2,1,0)</x:f>
        <x:v>1</x:v>
      </x:c>
    </x:row>
    <x:row r="3" ht="23.850000381469727" hidden="0">
      <x:c r="A3" s="6" t="n">
        <x:v>2</x:v>
      </x:c>
      <x:c r="B3" s="6" t="n">
        <x:v>205714</x:v>
      </x:c>
      <x:c r="C3" s="6" t="s">
        <x:v>49</x:v>
      </x:c>
      <x:c r="D3" s="7" t="s">
        <x:v>50</x:v>
      </x:c>
      <x:c r="E3" s="6" t="s">
        <x:v>21</x:v>
      </x:c>
      <x:c r="F3" s="6" t="s">
        <x:v>45</x:v>
      </x:c>
      <x:c r="G3" s="7" t="s">
        <x:v>46</x:v>
      </x:c>
      <x:c r="H3" s="8" t="s">
        <x:v>21</x:v>
      </x:c>
      <x:c r="I3" s="8" t="s">
        <x:v>45</x:v>
      </x:c>
      <x:c r="J3" s="8" t="s">
        <x:v>51</x:v>
      </x:c>
      <x:c r="K3" s="9" t="s">
        <x:v>52</x:v>
      </x:c>
      <x:c r="L3" s="8" t="str">
        <x:v>FALSE</x:v>
      </x:c>
      <x:c r="M3" s="8" t="str">
        <x:v>claude_draft</x:v>
      </x:c>
      <x:c r="N3" s="10" t="n">
        <x:f aca="0">IF(E3=H3,1,0)</x:f>
        <x:v>1</x:v>
      </x:c>
      <x:c r="O3" s="10" t="n">
        <x:f aca="0">IF(F3=I3,1,0)</x:f>
        <x:v>1</x:v>
      </x:c>
    </x:row>
    <x:row r="4" ht="35.04999923706055" hidden="0">
      <x:c r="A4" s="6" t="n">
        <x:v>3</x:v>
      </x:c>
      <x:c r="B4" s="6" t="n">
        <x:v>262178</x:v>
      </x:c>
      <x:c r="C4" s="6" t="s">
        <x:v>53</x:v>
      </x:c>
      <x:c r="D4" s="7" t="s">
        <x:v>54</x:v>
      </x:c>
      <x:c r="E4" s="6" t="s">
        <x:v>21</x:v>
      </x:c>
      <x:c r="F4" s="6" t="s">
        <x:v>45</x:v>
      </x:c>
      <x:c r="G4" s="7" t="s">
        <x:v>46</x:v>
      </x:c>
      <x:c r="H4" s="8" t="s">
        <x:v>21</x:v>
      </x:c>
      <x:c r="I4" s="8" t="s">
        <x:v>45</x:v>
      </x:c>
      <x:c r="J4" s="8" t="s">
        <x:v>47</x:v>
      </x:c>
      <x:c r="K4" s="9" t="s">
        <x:v>55</x:v>
      </x:c>
      <x:c r="L4" s="8" t="str">
        <x:v>FALSE</x:v>
      </x:c>
      <x:c r="M4" s="8" t="str">
        <x:v>GPT-5.6</x:v>
      </x:c>
      <x:c r="N4" s="10" t="n">
        <x:f aca="0">IF(E4=H4,1,0)</x:f>
        <x:v>1</x:v>
      </x:c>
      <x:c r="O4" s="10" t="n">
        <x:f aca="0">IF(F4=I4,1,0)</x:f>
        <x:v>1</x:v>
      </x:c>
    </x:row>
    <x:row r="5" ht="23.850000381469727" hidden="0">
      <x:c r="A5" s="6" t="n">
        <x:v>4</x:v>
      </x:c>
      <x:c r="B5" s="6" t="n">
        <x:v>317718</x:v>
      </x:c>
      <x:c r="C5" s="6" t="s">
        <x:v>56</x:v>
      </x:c>
      <x:c r="D5" s="7" t="s">
        <x:v>57</x:v>
      </x:c>
      <x:c r="E5" s="6" t="s">
        <x:v>21</x:v>
      </x:c>
      <x:c r="F5" s="6" t="s">
        <x:v>45</x:v>
      </x:c>
      <x:c r="G5" s="7" t="s">
        <x:v>46</x:v>
      </x:c>
      <x:c r="H5" s="8" t="s">
        <x:v>27</x:v>
      </x:c>
      <x:c r="I5" s="8" t="s">
        <x:v>58</x:v>
      </x:c>
      <x:c r="J5" s="8" t="s">
        <x:v>47</x:v>
      </x:c>
      <x:c r="K5" s="9" t="s">
        <x:v>59</x:v>
      </x:c>
      <x:c r="L5" s="8" t="str">
        <x:v>FALSE</x:v>
      </x:c>
      <x:c r="M5" s="8" t="str">
        <x:v>GPT-5.6</x:v>
      </x:c>
      <x:c r="N5" s="10" t="n">
        <x:f aca="0">IF(E5=H5,1,0)</x:f>
        <x:v>0</x:v>
      </x:c>
      <x:c r="O5" s="10" t="n">
        <x:f aca="0">IF(F5=I5,1,0)</x:f>
        <x:v>0</x:v>
      </x:c>
    </x:row>
    <x:row r="6" ht="23.850000381469727" hidden="0">
      <x:c r="A6" s="6" t="n">
        <x:v>5</x:v>
      </x:c>
      <x:c r="B6" s="6" t="n">
        <x:v>77319</x:v>
      </x:c>
      <x:c r="C6" s="6" t="s">
        <x:v>60</x:v>
      </x:c>
      <x:c r="D6" s="7" t="s">
        <x:v>61</x:v>
      </x:c>
      <x:c r="E6" s="6" t="s">
        <x:v>21</x:v>
      </x:c>
      <x:c r="F6" s="6" t="s">
        <x:v>45</x:v>
      </x:c>
      <x:c r="G6" s="7" t="s">
        <x:v>46</x:v>
      </x:c>
      <x:c r="H6" s="8" t="s">
        <x:v>22</x:v>
      </x:c>
      <x:c r="I6" s="8" t="s">
        <x:v>58</x:v>
      </x:c>
      <x:c r="J6" s="8" t="s">
        <x:v>51</x:v>
      </x:c>
      <x:c r="K6" s="9" t="s">
        <x:v>62</x:v>
      </x:c>
      <x:c r="L6" s="8" t="str">
        <x:v>FALSE</x:v>
      </x:c>
      <x:c r="M6" s="8" t="str">
        <x:v>claude_draft</x:v>
      </x:c>
      <x:c r="N6" s="10" t="n">
        <x:f aca="0">IF(E6=H6,1,0)</x:f>
        <x:v>0</x:v>
      </x:c>
      <x:c r="O6" s="10" t="n">
        <x:f aca="0">IF(F6=I6,1,0)</x:f>
        <x:v>0</x:v>
      </x:c>
    </x:row>
    <x:row r="7" ht="46.25" hidden="0">
      <x:c r="A7" s="6" t="n">
        <x:v>6</x:v>
      </x:c>
      <x:c r="B7" s="6" t="n">
        <x:v>671638</x:v>
      </x:c>
      <x:c r="C7" s="6" t="s">
        <x:v>63</x:v>
      </x:c>
      <x:c r="D7" s="7" t="s">
        <x:v>64</x:v>
      </x:c>
      <x:c r="E7" s="6" t="s">
        <x:v>21</x:v>
      </x:c>
      <x:c r="F7" s="6" t="s">
        <x:v>45</x:v>
      </x:c>
      <x:c r="G7" s="7" t="s">
        <x:v>46</x:v>
      </x:c>
      <x:c r="H7" s="8" t="s">
        <x:v>21</x:v>
      </x:c>
      <x:c r="I7" s="8" t="s">
        <x:v>58</x:v>
      </x:c>
      <x:c r="J7" s="8" t="s">
        <x:v>47</x:v>
      </x:c>
      <x:c r="K7" s="9" t="s">
        <x:v>65</x:v>
      </x:c>
      <x:c r="L7" s="8" t="str">
        <x:v>FALSE</x:v>
      </x:c>
      <x:c r="M7" s="8" t="str">
        <x:v>GPT-5.6</x:v>
      </x:c>
      <x:c r="N7" s="10" t="n">
        <x:f aca="0">IF(E7=H7,1,0)</x:f>
        <x:v>1</x:v>
      </x:c>
      <x:c r="O7" s="10" t="n">
        <x:f aca="0">IF(F7=I7,1,0)</x:f>
        <x:v>0</x:v>
      </x:c>
    </x:row>
    <x:row r="8" ht="23.850000381469727" hidden="0">
      <x:c r="A8" s="6" t="n">
        <x:v>7</x:v>
      </x:c>
      <x:c r="B8" s="6" t="n">
        <x:v>365197</x:v>
      </x:c>
      <x:c r="C8" s="6" t="s">
        <x:v>66</x:v>
      </x:c>
      <x:c r="D8" s="7" t="s">
        <x:v>67</x:v>
      </x:c>
      <x:c r="E8" s="6" t="s">
        <x:v>21</x:v>
      </x:c>
      <x:c r="F8" s="6" t="s">
        <x:v>45</x:v>
      </x:c>
      <x:c r="G8" s="7" t="s">
        <x:v>46</x:v>
      </x:c>
      <x:c r="H8" s="8" t="s">
        <x:v>21</x:v>
      </x:c>
      <x:c r="I8" s="8" t="s">
        <x:v>45</x:v>
      </x:c>
      <x:c r="J8" s="8" t="s">
        <x:v>47</x:v>
      </x:c>
      <x:c r="K8" s="9" t="s">
        <x:v>68</x:v>
      </x:c>
      <x:c r="L8" s="8" t="str">
        <x:v>FALSE</x:v>
      </x:c>
      <x:c r="M8" s="8" t="str">
        <x:v>GPT-5.6</x:v>
      </x:c>
      <x:c r="N8" s="10" t="n">
        <x:f aca="0">IF(E8=H8,1,0)</x:f>
        <x:v>1</x:v>
      </x:c>
      <x:c r="O8" s="10" t="n">
        <x:f aca="0">IF(F8=I8,1,0)</x:f>
        <x:v>1</x:v>
      </x:c>
    </x:row>
    <x:row r="9" ht="35.04999923706055" hidden="0">
      <x:c r="A9" s="6" t="n">
        <x:v>8</x:v>
      </x:c>
      <x:c r="B9" s="6" t="n">
        <x:v>364682</x:v>
      </x:c>
      <x:c r="C9" s="6" t="s">
        <x:v>69</x:v>
      </x:c>
      <x:c r="D9" s="7" t="s">
        <x:v>70</x:v>
      </x:c>
      <x:c r="E9" s="6" t="s">
        <x:v>21</x:v>
      </x:c>
      <x:c r="F9" s="6" t="s">
        <x:v>45</x:v>
      </x:c>
      <x:c r="G9" s="7" t="s">
        <x:v>46</x:v>
      </x:c>
      <x:c r="H9" s="8" t="str">
        <x:v>return_refund</x:v>
      </x:c>
      <x:c r="I9" s="8" t="str">
        <x:v>escalate</x:v>
      </x:c>
      <x:c r="J9" s="8" t="str">
        <x:v>HIGH</x:v>
      </x:c>
      <x:c r="K9" s="9" t="str">
        <x:v>Payment retry changed charge pattern; billing/possible duplicate-charge issue</x:v>
      </x:c>
      <x:c r="L9" s="8" t="str">
        <x:v>FALSE</x:v>
      </x:c>
      <x:c r="M9" s="8" t="str">
        <x:v>GPT-5.6</x:v>
      </x:c>
      <x:c r="N9" s="10" t="n">
        <x:f aca="0">IF(E9=H9,1,0)</x:f>
        <x:v>0</x:v>
      </x:c>
      <x:c r="O9" s="10" t="n">
        <x:f aca="0">IF(F9=I9,1,0)</x:f>
        <x:v>0</x:v>
      </x:c>
    </x:row>
    <x:row r="10" ht="23.850000381469727" hidden="0">
      <x:c r="A10" s="6" t="n">
        <x:v>9</x:v>
      </x:c>
      <x:c r="B10" s="6" t="n">
        <x:v>529990</x:v>
      </x:c>
      <x:c r="C10" s="6" t="s">
        <x:v>71</x:v>
      </x:c>
      <x:c r="D10" s="7" t="s">
        <x:v>72</x:v>
      </x:c>
      <x:c r="E10" s="6" t="s">
        <x:v>21</x:v>
      </x:c>
      <x:c r="F10" s="6" t="s">
        <x:v>45</x:v>
      </x:c>
      <x:c r="G10" s="7" t="s">
        <x:v>46</x:v>
      </x:c>
      <x:c r="H10" s="8" t="s">
        <x:v>27</x:v>
      </x:c>
      <x:c r="I10" s="8" t="s">
        <x:v>58</x:v>
      </x:c>
      <x:c r="J10" s="8" t="s">
        <x:v>47</x:v>
      </x:c>
      <x:c r="K10" s="9" t="s">
        <x:v>73</x:v>
      </x:c>
      <x:c r="L10" s="8" t="str">
        <x:v>FALSE</x:v>
      </x:c>
      <x:c r="M10" s="8" t="str">
        <x:v>GPT-5.6</x:v>
      </x:c>
      <x:c r="N10" s="10" t="n">
        <x:f aca="0">IF(E10=H10,1,0)</x:f>
        <x:v>0</x:v>
      </x:c>
      <x:c r="O10" s="10" t="n">
        <x:f aca="0">IF(F10=I10,1,0)</x:f>
        <x:v>0</x:v>
      </x:c>
    </x:row>
    <x:row r="11" ht="23.850000381469727" hidden="0">
      <x:c r="A11" s="6" t="n">
        <x:v>10</x:v>
      </x:c>
      <x:c r="B11" s="6" t="n">
        <x:v>158718</x:v>
      </x:c>
      <x:c r="C11" s="6" t="s">
        <x:v>74</x:v>
      </x:c>
      <x:c r="D11" s="7" t="s">
        <x:v>75</x:v>
      </x:c>
      <x:c r="E11" s="6" t="s">
        <x:v>21</x:v>
      </x:c>
      <x:c r="F11" s="6" t="s">
        <x:v>45</x:v>
      </x:c>
      <x:c r="G11" s="7" t="s">
        <x:v>46</x:v>
      </x:c>
      <x:c r="H11" s="8" t="s">
        <x:v>27</x:v>
      </x:c>
      <x:c r="I11" s="8" t="s">
        <x:v>45</x:v>
      </x:c>
      <x:c r="J11" s="8" t="s">
        <x:v>51</x:v>
      </x:c>
      <x:c r="K11" s="9" t="s">
        <x:v>76</x:v>
      </x:c>
      <x:c r="L11" s="8" t="str">
        <x:v>FALSE</x:v>
      </x:c>
      <x:c r="M11" s="8" t="str">
        <x:v>claude_draft</x:v>
      </x:c>
      <x:c r="N11" s="10" t="n">
        <x:f aca="0">IF(E11=H11,1,0)</x:f>
        <x:v>0</x:v>
      </x:c>
      <x:c r="O11" s="10" t="n">
        <x:f aca="0">IF(F11=I11,1,0)</x:f>
        <x:v>1</x:v>
      </x:c>
    </x:row>
    <x:row r="12" ht="23.850000381469727" hidden="0">
      <x:c r="A12" s="6" t="n">
        <x:v>11</x:v>
      </x:c>
      <x:c r="B12" s="6" t="n">
        <x:v>371853</x:v>
      </x:c>
      <x:c r="C12" s="6" t="s">
        <x:v>77</x:v>
      </x:c>
      <x:c r="D12" s="7" t="s">
        <x:v>78</x:v>
      </x:c>
      <x:c r="E12" s="6" t="s">
        <x:v>21</x:v>
      </x:c>
      <x:c r="F12" s="6" t="s">
        <x:v>45</x:v>
      </x:c>
      <x:c r="G12" s="7" t="s">
        <x:v>46</x:v>
      </x:c>
      <x:c r="H12" s="8" t="s">
        <x:v>24</x:v>
      </x:c>
      <x:c r="I12" s="8" t="s">
        <x:v>45</x:v>
      </x:c>
      <x:c r="J12" s="8" t="s">
        <x:v>51</x:v>
      </x:c>
      <x:c r="K12" s="9" t="s">
        <x:v>79</x:v>
      </x:c>
      <x:c r="L12" s="8" t="str">
        <x:v>FALSE</x:v>
      </x:c>
      <x:c r="M12" s="8" t="str">
        <x:v>claude_draft</x:v>
      </x:c>
      <x:c r="N12" s="10" t="n">
        <x:f aca="0">IF(E12=H12,1,0)</x:f>
        <x:v>0</x:v>
      </x:c>
      <x:c r="O12" s="10" t="n">
        <x:f aca="0">IF(F12=I12,1,0)</x:f>
        <x:v>1</x:v>
      </x:c>
    </x:row>
    <x:row r="13" ht="23.850000381469727" hidden="0">
      <x:c r="A13" s="6" t="n">
        <x:v>12</x:v>
      </x:c>
      <x:c r="B13" s="6" t="n">
        <x:v>170932</x:v>
      </x:c>
      <x:c r="C13" s="6" t="s">
        <x:v>80</x:v>
      </x:c>
      <x:c r="D13" s="7" t="s">
        <x:v>81</x:v>
      </x:c>
      <x:c r="E13" s="6" t="s">
        <x:v>21</x:v>
      </x:c>
      <x:c r="F13" s="6" t="s">
        <x:v>45</x:v>
      </x:c>
      <x:c r="G13" s="7" t="s">
        <x:v>46</x:v>
      </x:c>
      <x:c r="H13" s="8" t="s">
        <x:v>23</x:v>
      </x:c>
      <x:c r="I13" s="8" t="s">
        <x:v>58</x:v>
      </x:c>
      <x:c r="J13" s="8" t="s">
        <x:v>47</x:v>
      </x:c>
      <x:c r="K13" s="9" t="s">
        <x:v>82</x:v>
      </x:c>
      <x:c r="L13" s="8" t="str">
        <x:v>FALSE</x:v>
      </x:c>
      <x:c r="M13" s="8" t="str">
        <x:v>GPT-5.6</x:v>
      </x:c>
      <x:c r="N13" s="10" t="n">
        <x:f aca="0">IF(E13=H13,1,0)</x:f>
        <x:v>0</x:v>
      </x:c>
      <x:c r="O13" s="10" t="n">
        <x:f aca="0">IF(F13=I13,1,0)</x:f>
        <x:v>0</x:v>
      </x:c>
    </x:row>
    <x:row r="14" ht="35.04999923706055" hidden="0">
      <x:c r="A14" s="6" t="n">
        <x:v>13</x:v>
      </x:c>
      <x:c r="B14" s="6" t="n">
        <x:v>400341</x:v>
      </x:c>
      <x:c r="C14" s="6" t="s">
        <x:v>83</x:v>
      </x:c>
      <x:c r="D14" s="7" t="s">
        <x:v>84</x:v>
      </x:c>
      <x:c r="E14" s="6" t="s">
        <x:v>21</x:v>
      </x:c>
      <x:c r="F14" s="6" t="s">
        <x:v>45</x:v>
      </x:c>
      <x:c r="G14" s="7" t="s">
        <x:v>46</x:v>
      </x:c>
      <x:c r="H14" s="8" t="s">
        <x:v>21</x:v>
      </x:c>
      <x:c r="I14" s="8" t="s">
        <x:v>45</x:v>
      </x:c>
      <x:c r="J14" s="8" t="s">
        <x:v>47</x:v>
      </x:c>
      <x:c r="K14" s="9" t="s">
        <x:v>85</x:v>
      </x:c>
      <x:c r="L14" s="8" t="str">
        <x:v>FALSE</x:v>
      </x:c>
      <x:c r="M14" s="8" t="str">
        <x:v>GPT-5.6</x:v>
      </x:c>
      <x:c r="N14" s="10" t="n">
        <x:f aca="0">IF(E14=H14,1,0)</x:f>
        <x:v>1</x:v>
      </x:c>
      <x:c r="O14" s="10" t="n">
        <x:f aca="0">IF(F14=I14,1,0)</x:f>
        <x:v>1</x:v>
      </x:c>
    </x:row>
    <x:row r="15" ht="23.850000381469727" hidden="0">
      <x:c r="A15" s="6" t="n">
        <x:v>14</x:v>
      </x:c>
      <x:c r="B15" s="6" t="n">
        <x:v>219005</x:v>
      </x:c>
      <x:c r="C15" s="6" t="s">
        <x:v>86</x:v>
      </x:c>
      <x:c r="D15" s="7" t="s">
        <x:v>87</x:v>
      </x:c>
      <x:c r="E15" s="6" t="s">
        <x:v>21</x:v>
      </x:c>
      <x:c r="F15" s="6" t="s">
        <x:v>45</x:v>
      </x:c>
      <x:c r="G15" s="7" t="s">
        <x:v>46</x:v>
      </x:c>
      <x:c r="H15" s="8" t="s">
        <x:v>21</x:v>
      </x:c>
      <x:c r="I15" s="8" t="s">
        <x:v>45</x:v>
      </x:c>
      <x:c r="J15" s="8" t="s">
        <x:v>51</x:v>
      </x:c>
      <x:c r="K15" s="9" t="s">
        <x:v>88</x:v>
      </x:c>
      <x:c r="L15" s="8" t="str">
        <x:v>FALSE</x:v>
      </x:c>
      <x:c r="M15" s="8" t="str">
        <x:v>claude_draft</x:v>
      </x:c>
      <x:c r="N15" s="10" t="n">
        <x:f aca="0">IF(E15=H15,1,0)</x:f>
        <x:v>1</x:v>
      </x:c>
      <x:c r="O15" s="10" t="n">
        <x:f aca="0">IF(F15=I15,1,0)</x:f>
        <x:v>1</x:v>
      </x:c>
    </x:row>
    <x:row r="16" ht="23.850000381469727" hidden="0">
      <x:c r="A16" s="6" t="n">
        <x:v>15</x:v>
      </x:c>
      <x:c r="B16" s="6" t="n">
        <x:v>24559</x:v>
      </x:c>
      <x:c r="C16" s="6" t="s">
        <x:v>89</x:v>
      </x:c>
      <x:c r="D16" s="7" t="s">
        <x:v>90</x:v>
      </x:c>
      <x:c r="E16" s="6" t="s">
        <x:v>21</x:v>
      </x:c>
      <x:c r="F16" s="6" t="s">
        <x:v>45</x:v>
      </x:c>
      <x:c r="G16" s="7" t="s">
        <x:v>46</x:v>
      </x:c>
      <x:c r="H16" s="8" t="s">
        <x:v>22</x:v>
      </x:c>
      <x:c r="I16" s="8" t="s">
        <x:v>58</x:v>
      </x:c>
      <x:c r="J16" s="8" t="s">
        <x:v>47</x:v>
      </x:c>
      <x:c r="K16" s="9" t="s">
        <x:v>91</x:v>
      </x:c>
      <x:c r="L16" s="8" t="str">
        <x:v>FALSE</x:v>
      </x:c>
      <x:c r="M16" s="8" t="str">
        <x:v>GPT-5.6</x:v>
      </x:c>
      <x:c r="N16" s="10" t="n">
        <x:f aca="0">IF(E16=H16,1,0)</x:f>
        <x:v>0</x:v>
      </x:c>
      <x:c r="O16" s="10" t="n">
        <x:f aca="0">IF(F16=I16,1,0)</x:f>
        <x:v>0</x:v>
      </x:c>
    </x:row>
    <x:row r="17" ht="23.850000381469727" hidden="0">
      <x:c r="A17" s="6" t="n">
        <x:v>16</x:v>
      </x:c>
      <x:c r="B17" s="6" t="n">
        <x:v>278717</x:v>
      </x:c>
      <x:c r="C17" s="6" t="s">
        <x:v>92</x:v>
      </x:c>
      <x:c r="D17" s="7" t="s">
        <x:v>93</x:v>
      </x:c>
      <x:c r="E17" s="6" t="s">
        <x:v>21</x:v>
      </x:c>
      <x:c r="F17" s="6" t="s">
        <x:v>45</x:v>
      </x:c>
      <x:c r="G17" s="7" t="s">
        <x:v>46</x:v>
      </x:c>
      <x:c r="H17" s="8" t="s">
        <x:v>21</x:v>
      </x:c>
      <x:c r="I17" s="8" t="s">
        <x:v>45</x:v>
      </x:c>
      <x:c r="J17" s="8" t="s">
        <x:v>51</x:v>
      </x:c>
      <x:c r="K17" s="9" t="s">
        <x:v>94</x:v>
      </x:c>
      <x:c r="L17" s="8" t="str">
        <x:v>FALSE</x:v>
      </x:c>
      <x:c r="M17" s="8" t="str">
        <x:v>claude_draft</x:v>
      </x:c>
      <x:c r="N17" s="10" t="n">
        <x:f aca="0">IF(E17=H17,1,0)</x:f>
        <x:v>1</x:v>
      </x:c>
      <x:c r="O17" s="10" t="n">
        <x:f aca="0">IF(F17=I17,1,0)</x:f>
        <x:v>1</x:v>
      </x:c>
    </x:row>
    <x:row r="18" ht="23.850000381469727" hidden="0">
      <x:c r="A18" s="6" t="n">
        <x:v>17</x:v>
      </x:c>
      <x:c r="B18" s="6" t="n">
        <x:v>310572</x:v>
      </x:c>
      <x:c r="C18" s="6" t="s">
        <x:v>95</x:v>
      </x:c>
      <x:c r="D18" s="7" t="s">
        <x:v>96</x:v>
      </x:c>
      <x:c r="E18" s="6" t="s">
        <x:v>21</x:v>
      </x:c>
      <x:c r="F18" s="6" t="s">
        <x:v>45</x:v>
      </x:c>
      <x:c r="G18" s="7" t="s">
        <x:v>46</x:v>
      </x:c>
      <x:c r="H18" s="8" t="s">
        <x:v>27</x:v>
      </x:c>
      <x:c r="I18" s="8" t="s">
        <x:v>45</x:v>
      </x:c>
      <x:c r="J18" s="8" t="s">
        <x:v>51</x:v>
      </x:c>
      <x:c r="K18" s="9" t="s">
        <x:v>97</x:v>
      </x:c>
      <x:c r="L18" s="8" t="str">
        <x:v>FALSE</x:v>
      </x:c>
      <x:c r="M18" s="8" t="str">
        <x:v>claude_draft</x:v>
      </x:c>
      <x:c r="N18" s="10" t="n">
        <x:f aca="0">IF(E18=H18,1,0)</x:f>
        <x:v>0</x:v>
      </x:c>
      <x:c r="O18" s="10" t="n">
        <x:f aca="0">IF(F18=I18,1,0)</x:f>
        <x:v>1</x:v>
      </x:c>
    </x:row>
    <x:row r="19" ht="46.25" hidden="0">
      <x:c r="A19" s="6" t="n">
        <x:v>18</x:v>
      </x:c>
      <x:c r="B19" s="6" t="n">
        <x:v>573959</x:v>
      </x:c>
      <x:c r="C19" s="6" t="s">
        <x:v>98</x:v>
      </x:c>
      <x:c r="D19" s="7" t="s">
        <x:v>99</x:v>
      </x:c>
      <x:c r="E19" s="6" t="s">
        <x:v>21</x:v>
      </x:c>
      <x:c r="F19" s="6" t="s">
        <x:v>45</x:v>
      </x:c>
      <x:c r="G19" s="7" t="s">
        <x:v>46</x:v>
      </x:c>
      <x:c r="H19" s="8" t="s">
        <x:v>27</x:v>
      </x:c>
      <x:c r="I19" s="8" t="s">
        <x:v>45</x:v>
      </x:c>
      <x:c r="J19" s="8" t="s">
        <x:v>100</x:v>
      </x:c>
      <x:c r="K19" s="9" t="s">
        <x:v>101</x:v>
      </x:c>
      <x:c r="L19" s="8" t="str">
        <x:v>FALSE</x:v>
      </x:c>
      <x:c r="M19" s="8" t="str">
        <x:v>GPT-5.6</x:v>
      </x:c>
      <x:c r="N19" s="10" t="n">
        <x:f aca="0">IF(E19=H19,1,0)</x:f>
        <x:v>0</x:v>
      </x:c>
      <x:c r="O19" s="10" t="n">
        <x:f aca="0">IF(F19=I19,1,0)</x:f>
        <x:v>1</x:v>
      </x:c>
    </x:row>
    <x:row r="20" ht="35.04999923706055" hidden="0">
      <x:c r="A20" s="6" t="n">
        <x:v>19</x:v>
      </x:c>
      <x:c r="B20" s="6" t="n">
        <x:v>661470</x:v>
      </x:c>
      <x:c r="C20" s="6" t="s">
        <x:v>102</x:v>
      </x:c>
      <x:c r="D20" s="7" t="s">
        <x:v>103</x:v>
      </x:c>
      <x:c r="E20" s="6" t="s">
        <x:v>21</x:v>
      </x:c>
      <x:c r="F20" s="6" t="s">
        <x:v>45</x:v>
      </x:c>
      <x:c r="G20" s="7" t="s">
        <x:v>46</x:v>
      </x:c>
      <x:c r="H20" s="8" t="s">
        <x:v>22</x:v>
      </x:c>
      <x:c r="I20" s="8" t="s">
        <x:v>58</x:v>
      </x:c>
      <x:c r="J20" s="8" t="s">
        <x:v>51</x:v>
      </x:c>
      <x:c r="K20" s="9" t="s">
        <x:v>104</x:v>
      </x:c>
      <x:c r="L20" s="8" t="str">
        <x:v>FALSE</x:v>
      </x:c>
      <x:c r="M20" s="8" t="str">
        <x:v>claude_draft</x:v>
      </x:c>
      <x:c r="N20" s="10" t="n">
        <x:f aca="0">IF(E20=H20,1,0)</x:f>
        <x:v>0</x:v>
      </x:c>
      <x:c r="O20" s="10" t="n">
        <x:f aca="0">IF(F20=I20,1,0)</x:f>
        <x:v>0</x:v>
      </x:c>
    </x:row>
    <x:row r="21" ht="23.850000381469727" hidden="0">
      <x:c r="A21" s="6" t="n">
        <x:v>20</x:v>
      </x:c>
      <x:c r="B21" s="6" t="n">
        <x:v>313999</x:v>
      </x:c>
      <x:c r="C21" s="6" t="s">
        <x:v>105</x:v>
      </x:c>
      <x:c r="D21" s="7" t="s">
        <x:v>106</x:v>
      </x:c>
      <x:c r="E21" s="6" t="s">
        <x:v>21</x:v>
      </x:c>
      <x:c r="F21" s="6" t="s">
        <x:v>45</x:v>
      </x:c>
      <x:c r="G21" s="7" t="s">
        <x:v>46</x:v>
      </x:c>
      <x:c r="H21" s="8" t="s">
        <x:v>27</x:v>
      </x:c>
      <x:c r="I21" s="8" t="s">
        <x:v>45</x:v>
      </x:c>
      <x:c r="J21" s="8" t="s">
        <x:v>51</x:v>
      </x:c>
      <x:c r="K21" s="9" t="s">
        <x:v>107</x:v>
      </x:c>
      <x:c r="L21" s="8" t="str">
        <x:v>FALSE</x:v>
      </x:c>
      <x:c r="M21" s="8" t="str">
        <x:v>claude_draft</x:v>
      </x:c>
      <x:c r="N21" s="10" t="n">
        <x:f aca="0">IF(E21=H21,1,0)</x:f>
        <x:v>0</x:v>
      </x:c>
      <x:c r="O21" s="10" t="n">
        <x:f aca="0">IF(F21=I21,1,0)</x:f>
        <x:v>1</x:v>
      </x:c>
    </x:row>
    <x:row r="22" ht="23.850000381469727" hidden="0">
      <x:c r="A22" s="6" t="n">
        <x:v>21</x:v>
      </x:c>
      <x:c r="B22" s="6" t="n">
        <x:v>365600</x:v>
      </x:c>
      <x:c r="C22" s="6" t="s">
        <x:v>108</x:v>
      </x:c>
      <x:c r="D22" s="7" t="s">
        <x:v>109</x:v>
      </x:c>
      <x:c r="E22" s="6" t="s">
        <x:v>21</x:v>
      </x:c>
      <x:c r="F22" s="6" t="s">
        <x:v>45</x:v>
      </x:c>
      <x:c r="G22" s="7" t="s">
        <x:v>46</x:v>
      </x:c>
      <x:c r="H22" s="8" t="s">
        <x:v>21</x:v>
      </x:c>
      <x:c r="I22" s="8" t="s">
        <x:v>45</x:v>
      </x:c>
      <x:c r="J22" s="8" t="s">
        <x:v>47</x:v>
      </x:c>
      <x:c r="K22" s="9" t="s">
        <x:v>110</x:v>
      </x:c>
      <x:c r="L22" s="8" t="str">
        <x:v>FALSE</x:v>
      </x:c>
      <x:c r="M22" s="8" t="str">
        <x:v>GPT-5.6</x:v>
      </x:c>
      <x:c r="N22" s="10" t="n">
        <x:f aca="0">IF(E22=H22,1,0)</x:f>
        <x:v>1</x:v>
      </x:c>
      <x:c r="O22" s="10" t="n">
        <x:f aca="0">IF(F22=I22,1,0)</x:f>
        <x:v>1</x:v>
      </x:c>
    </x:row>
    <x:row r="23" ht="23.850000381469727" hidden="0">
      <x:c r="A23" s="6" t="n">
        <x:v>22</x:v>
      </x:c>
      <x:c r="B23" s="6" t="n">
        <x:v>350485</x:v>
      </x:c>
      <x:c r="C23" s="6" t="s">
        <x:v>111</x:v>
      </x:c>
      <x:c r="D23" s="7" t="s">
        <x:v>112</x:v>
      </x:c>
      <x:c r="E23" s="6" t="s">
        <x:v>21</x:v>
      </x:c>
      <x:c r="F23" s="6" t="s">
        <x:v>45</x:v>
      </x:c>
      <x:c r="G23" s="7" t="s">
        <x:v>46</x:v>
      </x:c>
      <x:c r="H23" s="8" t="s">
        <x:v>23</x:v>
      </x:c>
      <x:c r="I23" s="8" t="s">
        <x:v>58</x:v>
      </x:c>
      <x:c r="J23" s="8" t="s">
        <x:v>51</x:v>
      </x:c>
      <x:c r="K23" s="9" t="s">
        <x:v>113</x:v>
      </x:c>
      <x:c r="L23" s="8" t="str">
        <x:v>FALSE</x:v>
      </x:c>
      <x:c r="M23" s="8" t="str">
        <x:v>claude_draft</x:v>
      </x:c>
      <x:c r="N23" s="10" t="n">
        <x:f aca="0">IF(E23=H23,1,0)</x:f>
        <x:v>0</x:v>
      </x:c>
      <x:c r="O23" s="10" t="n">
        <x:f aca="0">IF(F23=I23,1,0)</x:f>
        <x:v>0</x:v>
      </x:c>
    </x:row>
    <x:row r="24" ht="35.04999923706055" hidden="0">
      <x:c r="A24" s="6" t="n">
        <x:v>23</x:v>
      </x:c>
      <x:c r="B24" s="6" t="n">
        <x:v>412321</x:v>
      </x:c>
      <x:c r="C24" s="6" t="s">
        <x:v>114</x:v>
      </x:c>
      <x:c r="D24" s="7" t="s">
        <x:v>115</x:v>
      </x:c>
      <x:c r="E24" s="6" t="s">
        <x:v>21</x:v>
      </x:c>
      <x:c r="F24" s="6" t="s">
        <x:v>45</x:v>
      </x:c>
      <x:c r="G24" s="7" t="s">
        <x:v>46</x:v>
      </x:c>
      <x:c r="H24" s="8" t="s">
        <x:v>21</x:v>
      </x:c>
      <x:c r="I24" s="8" t="s">
        <x:v>45</x:v>
      </x:c>
      <x:c r="J24" s="8" t="s">
        <x:v>47</x:v>
      </x:c>
      <x:c r="K24" s="9" t="s">
        <x:v>116</x:v>
      </x:c>
      <x:c r="L24" s="8" t="str">
        <x:v>FALSE</x:v>
      </x:c>
      <x:c r="M24" s="8" t="str">
        <x:v>GPT-5.6</x:v>
      </x:c>
      <x:c r="N24" s="10" t="n">
        <x:f aca="0">IF(E24=H24,1,0)</x:f>
        <x:v>1</x:v>
      </x:c>
      <x:c r="O24" s="10" t="n">
        <x:f aca="0">IF(F24=I24,1,0)</x:f>
        <x:v>1</x:v>
      </x:c>
    </x:row>
    <x:row r="25" ht="35.04999923706055" hidden="0">
      <x:c r="A25" s="6" t="n">
        <x:v>24</x:v>
      </x:c>
      <x:c r="B25" s="6" t="n">
        <x:v>717647</x:v>
      </x:c>
      <x:c r="C25" s="6" t="s">
        <x:v>117</x:v>
      </x:c>
      <x:c r="D25" s="7" t="s">
        <x:v>118</x:v>
      </x:c>
      <x:c r="E25" s="6" t="s">
        <x:v>21</x:v>
      </x:c>
      <x:c r="F25" s="6" t="s">
        <x:v>45</x:v>
      </x:c>
      <x:c r="G25" s="7" t="s">
        <x:v>46</x:v>
      </x:c>
      <x:c r="H25" s="8" t="s">
        <x:v>21</x:v>
      </x:c>
      <x:c r="I25" s="8" t="s">
        <x:v>58</x:v>
      </x:c>
      <x:c r="J25" s="8" t="s">
        <x:v>47</x:v>
      </x:c>
      <x:c r="K25" s="9" t="s">
        <x:v>119</x:v>
      </x:c>
      <x:c r="L25" s="8" t="str">
        <x:v>FALSE</x:v>
      </x:c>
      <x:c r="M25" s="8" t="str">
        <x:v>GPT-5.6</x:v>
      </x:c>
      <x:c r="N25" s="10" t="n">
        <x:f aca="0">IF(E25=H25,1,0)</x:f>
        <x:v>1</x:v>
      </x:c>
      <x:c r="O25" s="10" t="n">
        <x:f aca="0">IF(F25=I25,1,0)</x:f>
        <x:v>0</x:v>
      </x:c>
    </x:row>
    <x:row r="26" ht="23.850000381469727" hidden="0">
      <x:c r="A26" s="6" t="n">
        <x:v>25</x:v>
      </x:c>
      <x:c r="B26" s="6" t="n">
        <x:v>793810</x:v>
      </x:c>
      <x:c r="C26" s="6" t="s">
        <x:v>120</x:v>
      </x:c>
      <x:c r="D26" s="7" t="s">
        <x:v>121</x:v>
      </x:c>
      <x:c r="E26" s="6" t="s">
        <x:v>21</x:v>
      </x:c>
      <x:c r="F26" s="6" t="s">
        <x:v>45</x:v>
      </x:c>
      <x:c r="G26" s="7" t="s">
        <x:v>46</x:v>
      </x:c>
      <x:c r="H26" s="8" t="s">
        <x:v>23</x:v>
      </x:c>
      <x:c r="I26" s="8" t="s">
        <x:v>45</x:v>
      </x:c>
      <x:c r="J26" s="8" t="s">
        <x:v>47</x:v>
      </x:c>
      <x:c r="K26" s="9" t="s">
        <x:v>122</x:v>
      </x:c>
      <x:c r="L26" s="8" t="str">
        <x:v>FALSE</x:v>
      </x:c>
      <x:c r="M26" s="8" t="str">
        <x:v>GPT-5.6</x:v>
      </x:c>
      <x:c r="N26" s="10" t="n">
        <x:f aca="0">IF(E26=H26,1,0)</x:f>
        <x:v>0</x:v>
      </x:c>
      <x:c r="O26" s="10" t="n">
        <x:f aca="0">IF(F26=I26,1,0)</x:f>
        <x:v>1</x:v>
      </x:c>
    </x:row>
    <x:row r="27" ht="23.850000381469727" hidden="0">
      <x:c r="A27" s="6" t="n">
        <x:v>26</x:v>
      </x:c>
      <x:c r="B27" s="6" t="n">
        <x:v>227913</x:v>
      </x:c>
      <x:c r="C27" s="6" t="s">
        <x:v>123</x:v>
      </x:c>
      <x:c r="D27" s="7" t="s">
        <x:v>124</x:v>
      </x:c>
      <x:c r="E27" s="6" t="s">
        <x:v>21</x:v>
      </x:c>
      <x:c r="F27" s="6" t="s">
        <x:v>45</x:v>
      </x:c>
      <x:c r="G27" s="7" t="s">
        <x:v>46</x:v>
      </x:c>
      <x:c r="H27" s="8" t="s">
        <x:v>22</x:v>
      </x:c>
      <x:c r="I27" s="8" t="s">
        <x:v>58</x:v>
      </x:c>
      <x:c r="J27" s="8" t="s">
        <x:v>47</x:v>
      </x:c>
      <x:c r="K27" s="9" t="s">
        <x:v>125</x:v>
      </x:c>
      <x:c r="L27" s="8" t="str">
        <x:v>FALSE</x:v>
      </x:c>
      <x:c r="M27" s="8" t="str">
        <x:v>GPT-5.6</x:v>
      </x:c>
      <x:c r="N27" s="10" t="n">
        <x:f aca="0">IF(E27=H27,1,0)</x:f>
        <x:v>0</x:v>
      </x:c>
      <x:c r="O27" s="10" t="n">
        <x:f aca="0">IF(F27=I27,1,0)</x:f>
        <x:v>0</x:v>
      </x:c>
    </x:row>
    <x:row r="28" ht="46.25" hidden="0">
      <x:c r="A28" s="6" t="n">
        <x:v>27</x:v>
      </x:c>
      <x:c r="B28" s="6" t="n">
        <x:v>505026</x:v>
      </x:c>
      <x:c r="C28" s="6" t="s">
        <x:v>126</x:v>
      </x:c>
      <x:c r="D28" s="7" t="s">
        <x:v>127</x:v>
      </x:c>
      <x:c r="E28" s="6" t="s">
        <x:v>21</x:v>
      </x:c>
      <x:c r="F28" s="6" t="s">
        <x:v>45</x:v>
      </x:c>
      <x:c r="G28" s="7" t="s">
        <x:v>46</x:v>
      </x:c>
      <x:c r="H28" s="8" t="s">
        <x:v>21</x:v>
      </x:c>
      <x:c r="I28" s="8" t="s">
        <x:v>45</x:v>
      </x:c>
      <x:c r="J28" s="8" t="s">
        <x:v>47</x:v>
      </x:c>
      <x:c r="K28" s="9" t="s">
        <x:v>128</x:v>
      </x:c>
      <x:c r="L28" s="8" t="str">
        <x:v>FALSE</x:v>
      </x:c>
      <x:c r="M28" s="8" t="str">
        <x:v>GPT-5.6</x:v>
      </x:c>
      <x:c r="N28" s="10" t="n">
        <x:f aca="0">IF(E28=H28,1,0)</x:f>
        <x:v>1</x:v>
      </x:c>
      <x:c r="O28" s="10" t="n">
        <x:f aca="0">IF(F28=I28,1,0)</x:f>
        <x:v>1</x:v>
      </x:c>
    </x:row>
    <x:row r="29" ht="35.04999923706055" hidden="0">
      <x:c r="A29" s="6" t="n">
        <x:v>28</x:v>
      </x:c>
      <x:c r="B29" s="6" t="n">
        <x:v>585813</x:v>
      </x:c>
      <x:c r="C29" s="6" t="s">
        <x:v>129</x:v>
      </x:c>
      <x:c r="D29" s="7" t="s">
        <x:v>130</x:v>
      </x:c>
      <x:c r="E29" s="6" t="s">
        <x:v>21</x:v>
      </x:c>
      <x:c r="F29" s="6" t="s">
        <x:v>45</x:v>
      </x:c>
      <x:c r="G29" s="7" t="s">
        <x:v>46</x:v>
      </x:c>
      <x:c r="H29" s="8" t="s">
        <x:v>22</x:v>
      </x:c>
      <x:c r="I29" s="8" t="s">
        <x:v>58</x:v>
      </x:c>
      <x:c r="J29" s="8" t="s">
        <x:v>51</x:v>
      </x:c>
      <x:c r="K29" s="9" t="s">
        <x:v>131</x:v>
      </x:c>
      <x:c r="L29" s="8" t="str">
        <x:v>FALSE</x:v>
      </x:c>
      <x:c r="M29" s="8" t="str">
        <x:v>claude_draft</x:v>
      </x:c>
      <x:c r="N29" s="10" t="n">
        <x:f aca="0">IF(E29=H29,1,0)</x:f>
        <x:v>0</x:v>
      </x:c>
      <x:c r="O29" s="10" t="n">
        <x:f aca="0">IF(F29=I29,1,0)</x:f>
        <x:v>0</x:v>
      </x:c>
    </x:row>
    <x:row r="30" ht="35.04999923706055" hidden="0">
      <x:c r="A30" s="6" t="n">
        <x:v>29</x:v>
      </x:c>
      <x:c r="B30" s="6" t="n">
        <x:v>28401</x:v>
      </x:c>
      <x:c r="C30" s="6" t="s">
        <x:v>132</x:v>
      </x:c>
      <x:c r="D30" s="7" t="s">
        <x:v>133</x:v>
      </x:c>
      <x:c r="E30" s="6" t="s">
        <x:v>21</x:v>
      </x:c>
      <x:c r="F30" s="6" t="s">
        <x:v>45</x:v>
      </x:c>
      <x:c r="G30" s="7" t="s">
        <x:v>46</x:v>
      </x:c>
      <x:c r="H30" s="8" t="s">
        <x:v>22</x:v>
      </x:c>
      <x:c r="I30" s="8" t="s">
        <x:v>58</x:v>
      </x:c>
      <x:c r="J30" s="8" t="s">
        <x:v>51</x:v>
      </x:c>
      <x:c r="K30" s="9" t="s">
        <x:v>134</x:v>
      </x:c>
      <x:c r="L30" s="8" t="str">
        <x:v>FALSE</x:v>
      </x:c>
      <x:c r="M30" s="8" t="str">
        <x:v>claude_draft</x:v>
      </x:c>
      <x:c r="N30" s="10" t="n">
        <x:f aca="0">IF(E30=H30,1,0)</x:f>
        <x:v>0</x:v>
      </x:c>
      <x:c r="O30" s="10" t="n">
        <x:f aca="0">IF(F30=I30,1,0)</x:f>
        <x:v>0</x:v>
      </x:c>
    </x:row>
    <x:row r="31" ht="35.04999923706055" hidden="0">
      <x:c r="A31" s="6" t="n">
        <x:v>30</x:v>
      </x:c>
      <x:c r="B31" s="6" t="n">
        <x:v>230653</x:v>
      </x:c>
      <x:c r="C31" s="6" t="s">
        <x:v>135</x:v>
      </x:c>
      <x:c r="D31" s="7" t="s">
        <x:v>136</x:v>
      </x:c>
      <x:c r="E31" s="6" t="s">
        <x:v>21</x:v>
      </x:c>
      <x:c r="F31" s="6" t="s">
        <x:v>45</x:v>
      </x:c>
      <x:c r="G31" s="7" t="s">
        <x:v>46</x:v>
      </x:c>
      <x:c r="H31" s="8" t="s">
        <x:v>23</x:v>
      </x:c>
      <x:c r="I31" s="8" t="s">
        <x:v>58</x:v>
      </x:c>
      <x:c r="J31" s="8" t="s">
        <x:v>47</x:v>
      </x:c>
      <x:c r="K31" s="9" t="s">
        <x:v>137</x:v>
      </x:c>
      <x:c r="L31" s="8" t="str">
        <x:v>FALSE</x:v>
      </x:c>
      <x:c r="M31" s="8" t="str">
        <x:v>GPT-5.6</x:v>
      </x:c>
      <x:c r="N31" s="10" t="n">
        <x:f aca="0">IF(E31=H31,1,0)</x:f>
        <x:v>0</x:v>
      </x:c>
      <x:c r="O31" s="10" t="n">
        <x:f aca="0">IF(F31=I31,1,0)</x:f>
        <x:v>0</x:v>
      </x:c>
    </x:row>
    <x:row r="32" ht="35.04999923706055" hidden="0">
      <x:c r="A32" s="6" t="n">
        <x:v>31</x:v>
      </x:c>
      <x:c r="B32" s="6" t="n">
        <x:v>474291</x:v>
      </x:c>
      <x:c r="C32" s="6" t="s">
        <x:v>138</x:v>
      </x:c>
      <x:c r="D32" s="7" t="s">
        <x:v>139</x:v>
      </x:c>
      <x:c r="E32" s="6" t="s">
        <x:v>21</x:v>
      </x:c>
      <x:c r="F32" s="6" t="s">
        <x:v>58</x:v>
      </x:c>
      <x:c r="G32" s="7" t="s">
        <x:v>140</x:v>
      </x:c>
      <x:c r="H32" s="8" t="str">
        <x:v>shipping_inquiry</x:v>
      </x:c>
      <x:c r="I32" s="8" t="str">
        <x:v>auto</x:v>
      </x:c>
      <x:c r="J32" s="8" t="str">
        <x:v>HIGH</x:v>
      </x:c>
      <x:c r="K32" s="9" t="str">
        <x:v>Not dispatched on expected delivery day; no high-risk escalation trigger</x:v>
      </x:c>
      <x:c r="L32" s="8" t="str">
        <x:v>FALSE</x:v>
      </x:c>
      <x:c r="M32" s="8" t="str">
        <x:v>GPT-5.6</x:v>
      </x:c>
      <x:c r="N32" s="10" t="n">
        <x:f aca="0">IF(E32=H32,1,0)</x:f>
        <x:v>1</x:v>
      </x:c>
      <x:c r="O32" s="10" t="n">
        <x:f aca="0">IF(F32=I32,1,0)</x:f>
        <x:v>0</x:v>
      </x:c>
    </x:row>
    <x:row r="33" ht="23.850000381469727" hidden="0">
      <x:c r="A33" s="6" t="n">
        <x:v>32</x:v>
      </x:c>
      <x:c r="B33" s="6" t="n">
        <x:v>144124</x:v>
      </x:c>
      <x:c r="C33" s="6" t="s">
        <x:v>141</x:v>
      </x:c>
      <x:c r="D33" s="7" t="s">
        <x:v>142</x:v>
      </x:c>
      <x:c r="E33" s="6" t="s">
        <x:v>21</x:v>
      </x:c>
      <x:c r="F33" s="6" t="s">
        <x:v>45</x:v>
      </x:c>
      <x:c r="G33" s="7" t="s">
        <x:v>46</x:v>
      </x:c>
      <x:c r="H33" s="8" t="s">
        <x:v>27</x:v>
      </x:c>
      <x:c r="I33" s="8" t="s">
        <x:v>45</x:v>
      </x:c>
      <x:c r="J33" s="8" t="s">
        <x:v>51</x:v>
      </x:c>
      <x:c r="K33" s="9" t="s">
        <x:v>143</x:v>
      </x:c>
      <x:c r="L33" s="8" t="str">
        <x:v>FALSE</x:v>
      </x:c>
      <x:c r="M33" s="8" t="str">
        <x:v>claude_draft</x:v>
      </x:c>
      <x:c r="N33" s="10" t="n">
        <x:f aca="0">IF(E33=H33,1,0)</x:f>
        <x:v>0</x:v>
      </x:c>
      <x:c r="O33" s="10" t="n">
        <x:f aca="0">IF(F33=I33,1,0)</x:f>
        <x:v>1</x:v>
      </x:c>
    </x:row>
    <x:row r="34" ht="23.850000381469727" hidden="0">
      <x:c r="A34" s="6" t="n">
        <x:v>33</x:v>
      </x:c>
      <x:c r="B34" s="6" t="n">
        <x:v>74782</x:v>
      </x:c>
      <x:c r="C34" s="6" t="s">
        <x:v>144</x:v>
      </x:c>
      <x:c r="D34" s="7" t="s">
        <x:v>145</x:v>
      </x:c>
      <x:c r="E34" s="6" t="s">
        <x:v>21</x:v>
      </x:c>
      <x:c r="F34" s="6" t="s">
        <x:v>45</x:v>
      </x:c>
      <x:c r="G34" s="7" t="s">
        <x:v>46</x:v>
      </x:c>
      <x:c r="H34" s="8" t="s">
        <x:v>27</x:v>
      </x:c>
      <x:c r="I34" s="8" t="s">
        <x:v>45</x:v>
      </x:c>
      <x:c r="J34" s="8" t="s">
        <x:v>51</x:v>
      </x:c>
      <x:c r="K34" s="9" t="s">
        <x:v>146</x:v>
      </x:c>
      <x:c r="L34" s="8" t="str">
        <x:v>FALSE</x:v>
      </x:c>
      <x:c r="M34" s="8" t="str">
        <x:v>claude_draft</x:v>
      </x:c>
      <x:c r="N34" s="10" t="n">
        <x:f aca="0">IF(E34=H34,1,0)</x:f>
        <x:v>0</x:v>
      </x:c>
      <x:c r="O34" s="10" t="n">
        <x:f aca="0">IF(F34=I34,1,0)</x:f>
        <x:v>1</x:v>
      </x:c>
    </x:row>
    <x:row r="35" ht="23.850000381469727" hidden="0">
      <x:c r="A35" s="6" t="n">
        <x:v>34</x:v>
      </x:c>
      <x:c r="B35" s="6" t="n">
        <x:v>101768</x:v>
      </x:c>
      <x:c r="C35" s="6" t="s">
        <x:v>147</x:v>
      </x:c>
      <x:c r="D35" s="7" t="s">
        <x:v>148</x:v>
      </x:c>
      <x:c r="E35" s="6" t="s">
        <x:v>21</x:v>
      </x:c>
      <x:c r="F35" s="6" t="s">
        <x:v>45</x:v>
      </x:c>
      <x:c r="G35" s="7" t="s">
        <x:v>46</x:v>
      </x:c>
      <x:c r="H35" s="8" t="str">
        <x:v>shipping_inquiry</x:v>
      </x:c>
      <x:c r="I35" s="8" t="str">
        <x:v>auto</x:v>
      </x:c>
      <x:c r="J35" s="8" t="str">
        <x:v>MEDIUM</x:v>
      </x:c>
      <x:c r="K35" s="9" t="str">
        <x:v>Generic not-received inquiry with no overdue/marked-delivered evidence</x:v>
      </x:c>
      <x:c r="L35" s="8" t="str">
        <x:v>FALSE</x:v>
      </x:c>
      <x:c r="M35" s="8" t="str">
        <x:v>GPT-5.6</x:v>
      </x:c>
      <x:c r="N35" s="10" t="n">
        <x:f aca="0">IF(E35=H35,1,0)</x:f>
        <x:v>1</x:v>
      </x:c>
      <x:c r="O35" s="10" t="n">
        <x:f aca="0">IF(F35=I35,1,0)</x:f>
        <x:v>1</x:v>
      </x:c>
    </x:row>
    <x:row r="36" ht="23.850000381469727" hidden="0">
      <x:c r="A36" s="6" t="n">
        <x:v>35</x:v>
      </x:c>
      <x:c r="B36" s="6" t="n">
        <x:v>421249</x:v>
      </x:c>
      <x:c r="C36" s="6" t="s">
        <x:v>149</x:v>
      </x:c>
      <x:c r="D36" s="7" t="s">
        <x:v>150</x:v>
      </x:c>
      <x:c r="E36" s="6" t="s">
        <x:v>21</x:v>
      </x:c>
      <x:c r="F36" s="6" t="s">
        <x:v>45</x:v>
      </x:c>
      <x:c r="G36" s="7" t="s">
        <x:v>46</x:v>
      </x:c>
      <x:c r="H36" s="8" t="s">
        <x:v>27</x:v>
      </x:c>
      <x:c r="I36" s="8" t="s">
        <x:v>58</x:v>
      </x:c>
      <x:c r="J36" s="8" t="s">
        <x:v>51</x:v>
      </x:c>
      <x:c r="K36" s="9" t="s">
        <x:v>151</x:v>
      </x:c>
      <x:c r="L36" s="8" t="str">
        <x:v>FALSE</x:v>
      </x:c>
      <x:c r="M36" s="8" t="str">
        <x:v>claude_draft</x:v>
      </x:c>
      <x:c r="N36" s="10" t="n">
        <x:f aca="0">IF(E36=H36,1,0)</x:f>
        <x:v>0</x:v>
      </x:c>
      <x:c r="O36" s="10" t="n">
        <x:f aca="0">IF(F36=I36,1,0)</x:f>
        <x:v>0</x:v>
      </x:c>
    </x:row>
    <x:row r="37" ht="23.850000381469727" hidden="0">
      <x:c r="A37" s="6" t="n">
        <x:v>36</x:v>
      </x:c>
      <x:c r="B37" s="6" t="n">
        <x:v>180777</x:v>
      </x:c>
      <x:c r="C37" s="6" t="s">
        <x:v>152</x:v>
      </x:c>
      <x:c r="D37" s="7" t="s">
        <x:v>153</x:v>
      </x:c>
      <x:c r="E37" s="6" t="s">
        <x:v>21</x:v>
      </x:c>
      <x:c r="F37" s="6" t="s">
        <x:v>45</x:v>
      </x:c>
      <x:c r="G37" s="7" t="s">
        <x:v>46</x:v>
      </x:c>
      <x:c r="H37" s="8" t="s">
        <x:v>27</x:v>
      </x:c>
      <x:c r="I37" s="8" t="s">
        <x:v>45</x:v>
      </x:c>
      <x:c r="J37" s="8" t="s">
        <x:v>47</x:v>
      </x:c>
      <x:c r="K37" s="9" t="s">
        <x:v>154</x:v>
      </x:c>
      <x:c r="L37" s="8" t="str">
        <x:v>FALSE</x:v>
      </x:c>
      <x:c r="M37" s="8" t="str">
        <x:v>GPT-5.6</x:v>
      </x:c>
      <x:c r="N37" s="10" t="n">
        <x:f aca="0">IF(E37=H37,1,0)</x:f>
        <x:v>0</x:v>
      </x:c>
      <x:c r="O37" s="10" t="n">
        <x:f aca="0">IF(F37=I37,1,0)</x:f>
        <x:v>1</x:v>
      </x:c>
    </x:row>
    <x:row r="38" ht="23.850000381469727" hidden="0">
      <x:c r="A38" s="6" t="n">
        <x:v>37</x:v>
      </x:c>
      <x:c r="B38" s="6" t="n">
        <x:v>191651</x:v>
      </x:c>
      <x:c r="C38" s="6" t="s">
        <x:v>155</x:v>
      </x:c>
      <x:c r="D38" s="7" t="s">
        <x:v>156</x:v>
      </x:c>
      <x:c r="E38" s="6" t="s">
        <x:v>21</x:v>
      </x:c>
      <x:c r="F38" s="6" t="s">
        <x:v>45</x:v>
      </x:c>
      <x:c r="G38" s="7" t="s">
        <x:v>46</x:v>
      </x:c>
      <x:c r="H38" s="8" t="s">
        <x:v>27</x:v>
      </x:c>
      <x:c r="I38" s="8" t="s">
        <x:v>45</x:v>
      </x:c>
      <x:c r="J38" s="8" t="s">
        <x:v>51</x:v>
      </x:c>
      <x:c r="K38" s="9" t="s">
        <x:v>146</x:v>
      </x:c>
      <x:c r="L38" s="8" t="str">
        <x:v>FALSE</x:v>
      </x:c>
      <x:c r="M38" s="8" t="str">
        <x:v>claude_draft</x:v>
      </x:c>
      <x:c r="N38" s="10" t="n">
        <x:f aca="0">IF(E38=H38,1,0)</x:f>
        <x:v>0</x:v>
      </x:c>
      <x:c r="O38" s="10" t="n">
        <x:f aca="0">IF(F38=I38,1,0)</x:f>
        <x:v>1</x:v>
      </x:c>
    </x:row>
    <x:row r="39" ht="46.25" hidden="0">
      <x:c r="A39" s="6" t="n">
        <x:v>38</x:v>
      </x:c>
      <x:c r="B39" s="6" t="n">
        <x:v>367909</x:v>
      </x:c>
      <x:c r="C39" s="6" t="s">
        <x:v>157</x:v>
      </x:c>
      <x:c r="D39" s="7" t="s">
        <x:v>158</x:v>
      </x:c>
      <x:c r="E39" s="6" t="s">
        <x:v>21</x:v>
      </x:c>
      <x:c r="F39" s="6" t="s">
        <x:v>45</x:v>
      </x:c>
      <x:c r="G39" s="7" t="s">
        <x:v>46</x:v>
      </x:c>
      <x:c r="H39" s="8" t="s">
        <x:v>22</x:v>
      </x:c>
      <x:c r="I39" s="8" t="s">
        <x:v>58</x:v>
      </x:c>
      <x:c r="J39" s="8" t="s">
        <x:v>51</x:v>
      </x:c>
      <x:c r="K39" s="9" t="s">
        <x:v>159</x:v>
      </x:c>
      <x:c r="L39" s="8" t="str">
        <x:v>FALSE</x:v>
      </x:c>
      <x:c r="M39" s="8" t="str">
        <x:v>claude_draft</x:v>
      </x:c>
      <x:c r="N39" s="10" t="n">
        <x:f aca="0">IF(E39=H39,1,0)</x:f>
        <x:v>0</x:v>
      </x:c>
      <x:c r="O39" s="10" t="n">
        <x:f aca="0">IF(F39=I39,1,0)</x:f>
        <x:v>0</x:v>
      </x:c>
    </x:row>
    <x:row r="40" ht="35.04999923706055" hidden="0">
      <x:c r="A40" s="6" t="n">
        <x:v>39</x:v>
      </x:c>
      <x:c r="B40" s="6" t="n">
        <x:v>280968</x:v>
      </x:c>
      <x:c r="C40" s="6" t="s">
        <x:v>160</x:v>
      </x:c>
      <x:c r="D40" s="7" t="s">
        <x:v>161</x:v>
      </x:c>
      <x:c r="E40" s="6" t="s">
        <x:v>21</x:v>
      </x:c>
      <x:c r="F40" s="6" t="s">
        <x:v>45</x:v>
      </x:c>
      <x:c r="G40" s="7" t="s">
        <x:v>46</x:v>
      </x:c>
      <x:c r="H40" s="8" t="s">
        <x:v>21</x:v>
      </x:c>
      <x:c r="I40" s="8" t="s">
        <x:v>58</x:v>
      </x:c>
      <x:c r="J40" s="8" t="s">
        <x:v>47</x:v>
      </x:c>
      <x:c r="K40" s="9" t="s">
        <x:v>162</x:v>
      </x:c>
      <x:c r="L40" s="8" t="str">
        <x:v>FALSE</x:v>
      </x:c>
      <x:c r="M40" s="8" t="str">
        <x:v>GPT-5.6</x:v>
      </x:c>
      <x:c r="N40" s="10" t="n">
        <x:f aca="0">IF(E40=H40,1,0)</x:f>
        <x:v>1</x:v>
      </x:c>
      <x:c r="O40" s="10" t="n">
        <x:f aca="0">IF(F40=I40,1,0)</x:f>
        <x:v>0</x:v>
      </x:c>
    </x:row>
    <x:row r="41" ht="23.850000381469727" hidden="0">
      <x:c r="A41" s="6" t="n">
        <x:v>40</x:v>
      </x:c>
      <x:c r="B41" s="6" t="n">
        <x:v>704909</x:v>
      </x:c>
      <x:c r="C41" s="6" t="s">
        <x:v>163</x:v>
      </x:c>
      <x:c r="D41" s="7" t="s">
        <x:v>164</x:v>
      </x:c>
      <x:c r="E41" s="6" t="s">
        <x:v>21</x:v>
      </x:c>
      <x:c r="F41" s="6" t="s">
        <x:v>45</x:v>
      </x:c>
      <x:c r="G41" s="7" t="s">
        <x:v>46</x:v>
      </x:c>
      <x:c r="H41" s="8" t="str">
        <x:v>shipping_inquiry</x:v>
      </x:c>
      <x:c r="I41" s="8" t="str">
        <x:v>auto</x:v>
      </x:c>
      <x:c r="J41" s="8" t="str">
        <x:v>MEDIUM</x:v>
      </x:c>
      <x:c r="K41" s="9" t="str">
        <x:v>Packaging/delivery-handling complaint; item expected to arrive smushed</x:v>
      </x:c>
      <x:c r="L41" s="8" t="str">
        <x:v>FALSE</x:v>
      </x:c>
      <x:c r="M41" s="8" t="str">
        <x:v>GPT-5.6</x:v>
      </x:c>
      <x:c r="N41" s="10" t="n">
        <x:f aca="0">IF(E41=H41,1,0)</x:f>
        <x:v>1</x:v>
      </x:c>
      <x:c r="O41" s="10" t="n">
        <x:f aca="0">IF(F41=I41,1,0)</x:f>
        <x:v>1</x:v>
      </x:c>
    </x:row>
    <x:row r="42" ht="46.25" hidden="0">
      <x:c r="A42" s="6" t="n">
        <x:v>41</x:v>
      </x:c>
      <x:c r="B42" s="6" t="n">
        <x:v>98708</x:v>
      </x:c>
      <x:c r="C42" s="6" t="s">
        <x:v>165</x:v>
      </x:c>
      <x:c r="D42" s="7" t="s">
        <x:v>166</x:v>
      </x:c>
      <x:c r="E42" s="6" t="s">
        <x:v>21</x:v>
      </x:c>
      <x:c r="F42" s="6" t="s">
        <x:v>45</x:v>
      </x:c>
      <x:c r="G42" s="7" t="s">
        <x:v>46</x:v>
      </x:c>
      <x:c r="H42" s="8" t="s">
        <x:v>27</x:v>
      </x:c>
      <x:c r="I42" s="8" t="s">
        <x:v>58</x:v>
      </x:c>
      <x:c r="J42" s="8" t="s">
        <x:v>51</x:v>
      </x:c>
      <x:c r="K42" s="9" t="s">
        <x:v>167</x:v>
      </x:c>
      <x:c r="L42" s="8" t="str">
        <x:v>FALSE</x:v>
      </x:c>
      <x:c r="M42" s="8" t="str">
        <x:v>claude_draft</x:v>
      </x:c>
      <x:c r="N42" s="10" t="n">
        <x:f aca="0">IF(E42=H42,1,0)</x:f>
        <x:v>0</x:v>
      </x:c>
      <x:c r="O42" s="10" t="n">
        <x:f aca="0">IF(F42=I42,1,0)</x:f>
        <x:v>0</x:v>
      </x:c>
    </x:row>
    <x:row r="43" ht="35.04999923706055" hidden="0">
      <x:c r="A43" s="6" t="n">
        <x:v>42</x:v>
      </x:c>
      <x:c r="B43" s="6" t="n">
        <x:v>715473</x:v>
      </x:c>
      <x:c r="C43" s="6" t="s">
        <x:v>168</x:v>
      </x:c>
      <x:c r="D43" s="7" t="s">
        <x:v>169</x:v>
      </x:c>
      <x:c r="E43" s="6" t="s">
        <x:v>21</x:v>
      </x:c>
      <x:c r="F43" s="6" t="s">
        <x:v>45</x:v>
      </x:c>
      <x:c r="G43" s="7" t="s">
        <x:v>46</x:v>
      </x:c>
      <x:c r="H43" s="8" t="s">
        <x:v>21</x:v>
      </x:c>
      <x:c r="I43" s="8" t="s">
        <x:v>45</x:v>
      </x:c>
      <x:c r="J43" s="8" t="s">
        <x:v>47</x:v>
      </x:c>
      <x:c r="K43" s="9" t="s">
        <x:v>170</x:v>
      </x:c>
      <x:c r="L43" s="8" t="str">
        <x:v>FALSE</x:v>
      </x:c>
      <x:c r="M43" s="8" t="str">
        <x:v>GPT-5.6</x:v>
      </x:c>
      <x:c r="N43" s="10" t="n">
        <x:f aca="0">IF(E43=H43,1,0)</x:f>
        <x:v>1</x:v>
      </x:c>
      <x:c r="O43" s="10" t="n">
        <x:f aca="0">IF(F43=I43,1,0)</x:f>
        <x:v>1</x:v>
      </x:c>
    </x:row>
    <x:row r="44" ht="35.04999923706055" hidden="0">
      <x:c r="A44" s="6" t="n">
        <x:v>43</x:v>
      </x:c>
      <x:c r="B44" s="6" t="n">
        <x:v>55061</x:v>
      </x:c>
      <x:c r="C44" s="6" t="s">
        <x:v>171</x:v>
      </x:c>
      <x:c r="D44" s="7" t="s">
        <x:v>172</x:v>
      </x:c>
      <x:c r="E44" s="6" t="s">
        <x:v>21</x:v>
      </x:c>
      <x:c r="F44" s="6" t="s">
        <x:v>45</x:v>
      </x:c>
      <x:c r="G44" s="7" t="s">
        <x:v>46</x:v>
      </x:c>
      <x:c r="H44" s="8" t="s">
        <x:v>22</x:v>
      </x:c>
      <x:c r="I44" s="8" t="s">
        <x:v>58</x:v>
      </x:c>
      <x:c r="J44" s="8" t="s">
        <x:v>47</x:v>
      </x:c>
      <x:c r="K44" s="9" t="s">
        <x:v>173</x:v>
      </x:c>
      <x:c r="L44" s="8" t="str">
        <x:v>TRUE</x:v>
      </x:c>
      <x:c r="M44" s="8" t="str">
        <x:v>claude_draft</x:v>
      </x:c>
      <x:c r="N44" s="10" t="n">
        <x:f aca="0">IF(E44=H44,1,0)</x:f>
        <x:v>0</x:v>
      </x:c>
      <x:c r="O44" s="10" t="n">
        <x:f aca="0">IF(F44=I44,1,0)</x:f>
        <x:v>0</x:v>
      </x:c>
    </x:row>
    <x:row r="45" ht="35.04999923706055" hidden="0">
      <x:c r="A45" s="6" t="n">
        <x:v>44</x:v>
      </x:c>
      <x:c r="B45" s="6" t="n">
        <x:v>633675</x:v>
      </x:c>
      <x:c r="C45" s="6" t="s">
        <x:v>174</x:v>
      </x:c>
      <x:c r="D45" s="7" t="s">
        <x:v>175</x:v>
      </x:c>
      <x:c r="E45" s="6" t="s">
        <x:v>21</x:v>
      </x:c>
      <x:c r="F45" s="6" t="s">
        <x:v>45</x:v>
      </x:c>
      <x:c r="G45" s="7" t="s">
        <x:v>46</x:v>
      </x:c>
      <x:c r="H45" s="8" t="s">
        <x:v>21</x:v>
      </x:c>
      <x:c r="I45" s="8" t="s">
        <x:v>45</x:v>
      </x:c>
      <x:c r="J45" s="8" t="s">
        <x:v>51</x:v>
      </x:c>
      <x:c r="K45" s="9" t="s">
        <x:v>176</x:v>
      </x:c>
      <x:c r="L45" s="8" t="str">
        <x:v>FALSE</x:v>
      </x:c>
      <x:c r="M45" s="8" t="str">
        <x:v>claude_draft</x:v>
      </x:c>
      <x:c r="N45" s="10" t="n">
        <x:f aca="0">IF(E45=H45,1,0)</x:f>
        <x:v>1</x:v>
      </x:c>
      <x:c r="O45" s="10" t="n">
        <x:f aca="0">IF(F45=I45,1,0)</x:f>
        <x:v>1</x:v>
      </x:c>
    </x:row>
    <x:row r="46" ht="35.04999923706055" hidden="0">
      <x:c r="A46" s="6" t="n">
        <x:v>45</x:v>
      </x:c>
      <x:c r="B46" s="6" t="n">
        <x:v>619294</x:v>
      </x:c>
      <x:c r="C46" s="6" t="s">
        <x:v>177</x:v>
      </x:c>
      <x:c r="D46" s="7" t="s">
        <x:v>178</x:v>
      </x:c>
      <x:c r="E46" s="6" t="s">
        <x:v>21</x:v>
      </x:c>
      <x:c r="F46" s="6" t="s">
        <x:v>45</x:v>
      </x:c>
      <x:c r="G46" s="7" t="s">
        <x:v>46</x:v>
      </x:c>
      <x:c r="H46" s="8" t="str">
        <x:v>delivery_failed</x:v>
      </x:c>
      <x:c r="I46" s="8" t="str">
        <x:v>escalate</x:v>
      </x:c>
      <x:c r="J46" s="8" t="str">
        <x:v>HIGH</x:v>
      </x:c>
      <x:c r="K46" s="9" t="str">
        <x:v>Day 4 of promised 2-day shipping with no information; long-overdue delivery</x:v>
      </x:c>
      <x:c r="L46" s="8" t="str">
        <x:v>FALSE</x:v>
      </x:c>
      <x:c r="M46" s="8" t="str">
        <x:v>GPT-5.6</x:v>
      </x:c>
      <x:c r="N46" s="10" t="n">
        <x:f aca="0">IF(E46=H46,1,0)</x:f>
        <x:v>0</x:v>
      </x:c>
      <x:c r="O46" s="10" t="n">
        <x:f aca="0">IF(F46=I46,1,0)</x:f>
        <x:v>0</x:v>
      </x:c>
    </x:row>
    <x:row r="47" ht="23.850000381469727" hidden="0">
      <x:c r="A47" s="6" t="n">
        <x:v>46</x:v>
      </x:c>
      <x:c r="B47" s="6" t="n">
        <x:v>307918</x:v>
      </x:c>
      <x:c r="C47" s="6" t="s">
        <x:v>179</x:v>
      </x:c>
      <x:c r="D47" s="7" t="s">
        <x:v>180</x:v>
      </x:c>
      <x:c r="E47" s="6" t="s">
        <x:v>21</x:v>
      </x:c>
      <x:c r="F47" s="6" t="s">
        <x:v>45</x:v>
      </x:c>
      <x:c r="G47" s="7" t="s">
        <x:v>46</x:v>
      </x:c>
      <x:c r="H47" s="8" t="s">
        <x:v>21</x:v>
      </x:c>
      <x:c r="I47" s="8" t="s">
        <x:v>45</x:v>
      </x:c>
      <x:c r="J47" s="8" t="s">
        <x:v>51</x:v>
      </x:c>
      <x:c r="K47" s="9" t="s">
        <x:v>181</x:v>
      </x:c>
      <x:c r="L47" s="8" t="str">
        <x:v>FALSE</x:v>
      </x:c>
      <x:c r="M47" s="8" t="str">
        <x:v>claude_draft</x:v>
      </x:c>
      <x:c r="N47" s="10" t="n">
        <x:f aca="0">IF(E47=H47,1,0)</x:f>
        <x:v>1</x:v>
      </x:c>
      <x:c r="O47" s="10" t="n">
        <x:f aca="0">IF(F47=I47,1,0)</x:f>
        <x:v>1</x:v>
      </x:c>
    </x:row>
    <x:row r="48" ht="35.04999923706055" hidden="0">
      <x:c r="A48" s="6" t="n">
        <x:v>47</x:v>
      </x:c>
      <x:c r="B48" s="6" t="n">
        <x:v>379463</x:v>
      </x:c>
      <x:c r="C48" s="6" t="s">
        <x:v>182</x:v>
      </x:c>
      <x:c r="D48" s="7" t="s">
        <x:v>183</x:v>
      </x:c>
      <x:c r="E48" s="6" t="s">
        <x:v>21</x:v>
      </x:c>
      <x:c r="F48" s="6" t="s">
        <x:v>45</x:v>
      </x:c>
      <x:c r="G48" s="7" t="s">
        <x:v>46</x:v>
      </x:c>
      <x:c r="H48" s="8" t="s">
        <x:v>27</x:v>
      </x:c>
      <x:c r="I48" s="8" t="s">
        <x:v>45</x:v>
      </x:c>
      <x:c r="J48" s="8" t="s">
        <x:v>100</x:v>
      </x:c>
      <x:c r="K48" s="9" t="s">
        <x:v>184</x:v>
      </x:c>
      <x:c r="L48" s="8" t="str">
        <x:v>FALSE</x:v>
      </x:c>
      <x:c r="M48" s="8" t="str">
        <x:v>GPT-5.6</x:v>
      </x:c>
      <x:c r="N48" s="10" t="n">
        <x:f aca="0">IF(E48=H48,1,0)</x:f>
        <x:v>0</x:v>
      </x:c>
      <x:c r="O48" s="10" t="n">
        <x:f aca="0">IF(F48=I48,1,0)</x:f>
        <x:v>1</x:v>
      </x:c>
    </x:row>
    <x:row r="49" ht="35.04999923706055" hidden="0">
      <x:c r="A49" s="6" t="n">
        <x:v>48</x:v>
      </x:c>
      <x:c r="B49" s="6" t="n">
        <x:v>579039</x:v>
      </x:c>
      <x:c r="C49" s="6" t="s">
        <x:v>185</x:v>
      </x:c>
      <x:c r="D49" s="7" t="s">
        <x:v>186</x:v>
      </x:c>
      <x:c r="E49" s="6" t="s">
        <x:v>21</x:v>
      </x:c>
      <x:c r="F49" s="6" t="s">
        <x:v>45</x:v>
      </x:c>
      <x:c r="G49" s="7" t="s">
        <x:v>46</x:v>
      </x:c>
      <x:c r="H49" s="8" t="s">
        <x:v>22</x:v>
      </x:c>
      <x:c r="I49" s="8" t="s">
        <x:v>58</x:v>
      </x:c>
      <x:c r="J49" s="8" t="s">
        <x:v>51</x:v>
      </x:c>
      <x:c r="K49" s="9" t="s">
        <x:v>187</x:v>
      </x:c>
      <x:c r="L49" s="8" t="str">
        <x:v>FALSE</x:v>
      </x:c>
      <x:c r="M49" s="8" t="str">
        <x:v>claude_draft</x:v>
      </x:c>
      <x:c r="N49" s="10" t="n">
        <x:f aca="0">IF(E49=H49,1,0)</x:f>
        <x:v>0</x:v>
      </x:c>
      <x:c r="O49" s="10" t="n">
        <x:f aca="0">IF(F49=I49,1,0)</x:f>
        <x:v>0</x:v>
      </x:c>
    </x:row>
    <x:row r="50" ht="35.04999923706055" hidden="0">
      <x:c r="A50" s="6" t="n">
        <x:v>49</x:v>
      </x:c>
      <x:c r="B50" s="6" t="n">
        <x:v>583516</x:v>
      </x:c>
      <x:c r="C50" s="6" t="s">
        <x:v>188</x:v>
      </x:c>
      <x:c r="D50" s="7" t="s">
        <x:v>189</x:v>
      </x:c>
      <x:c r="E50" s="6" t="s">
        <x:v>21</x:v>
      </x:c>
      <x:c r="F50" s="6" t="s">
        <x:v>45</x:v>
      </x:c>
      <x:c r="G50" s="7" t="s">
        <x:v>46</x:v>
      </x:c>
      <x:c r="H50" s="8" t="s">
        <x:v>27</x:v>
      </x:c>
      <x:c r="I50" s="8" t="s">
        <x:v>45</x:v>
      </x:c>
      <x:c r="J50" s="8" t="s">
        <x:v>51</x:v>
      </x:c>
      <x:c r="K50" s="9" t="s">
        <x:v>190</x:v>
      </x:c>
      <x:c r="L50" s="8" t="str">
        <x:v>FALSE</x:v>
      </x:c>
      <x:c r="M50" s="8" t="str">
        <x:v>claude_draft</x:v>
      </x:c>
      <x:c r="N50" s="10" t="n">
        <x:f aca="0">IF(E50=H50,1,0)</x:f>
        <x:v>0</x:v>
      </x:c>
      <x:c r="O50" s="10" t="n">
        <x:f aca="0">IF(F50=I50,1,0)</x:f>
        <x:v>1</x:v>
      </x:c>
    </x:row>
    <x:row r="51" ht="23.850000381469727" hidden="0">
      <x:c r="A51" s="6" t="n">
        <x:v>50</x:v>
      </x:c>
      <x:c r="B51" s="6" t="n">
        <x:v>15302</x:v>
      </x:c>
      <x:c r="C51" s="6" t="s">
        <x:v>191</x:v>
      </x:c>
      <x:c r="D51" s="7" t="s">
        <x:v>192</x:v>
      </x:c>
      <x:c r="E51" s="6" t="s">
        <x:v>21</x:v>
      </x:c>
      <x:c r="F51" s="6" t="s">
        <x:v>45</x:v>
      </x:c>
      <x:c r="G51" s="7" t="s">
        <x:v>46</x:v>
      </x:c>
      <x:c r="H51" s="8" t="s">
        <x:v>27</x:v>
      </x:c>
      <x:c r="I51" s="8" t="s">
        <x:v>45</x:v>
      </x:c>
      <x:c r="J51" s="8" t="s">
        <x:v>51</x:v>
      </x:c>
      <x:c r="K51" s="9" t="s">
        <x:v>146</x:v>
      </x:c>
      <x:c r="L51" s="8" t="str">
        <x:v>FALSE</x:v>
      </x:c>
      <x:c r="M51" s="8" t="str">
        <x:v>claude_draft</x:v>
      </x:c>
      <x:c r="N51" s="10" t="n">
        <x:f aca="0">IF(E51=H51,1,0)</x:f>
        <x:v>0</x:v>
      </x:c>
      <x:c r="O51" s="10" t="n">
        <x:f aca="0">IF(F51=I51,1,0)</x:f>
        <x:v>1</x:v>
      </x:c>
    </x:row>
    <x:row r="52" ht="23.850000381469727" hidden="0">
      <x:c r="A52" s="6" t="n">
        <x:v>51</x:v>
      </x:c>
      <x:c r="B52" s="6" t="n">
        <x:v>562894</x:v>
      </x:c>
      <x:c r="C52" s="6" t="s">
        <x:v>193</x:v>
      </x:c>
      <x:c r="D52" s="7" t="s">
        <x:v>194</x:v>
      </x:c>
      <x:c r="E52" s="6" t="s">
        <x:v>22</x:v>
      </x:c>
      <x:c r="F52" s="6" t="s">
        <x:v>58</x:v>
      </x:c>
      <x:c r="G52" s="7" t="s">
        <x:v>195</x:v>
      </x:c>
      <x:c r="H52" s="8" t="str">
        <x:v>shipping_inquiry</x:v>
      </x:c>
      <x:c r="I52" s="8" t="str">
        <x:v>auto</x:v>
      </x:c>
      <x:c r="J52" s="8" t="str">
        <x:v>MEDIUM</x:v>
      </x:c>
      <x:c r="K52" s="9" t="str">
        <x:v>Still missing, but no duration or marked-delivered/lost evidence</x:v>
      </x:c>
      <x:c r="L52" s="8" t="str">
        <x:v>FALSE</x:v>
      </x:c>
      <x:c r="M52" s="8" t="str">
        <x:v>GPT-5.6</x:v>
      </x:c>
      <x:c r="N52" s="10" t="n">
        <x:f aca="0">IF(E52=H52,1,0)</x:f>
        <x:v>0</x:v>
      </x:c>
      <x:c r="O52" s="10" t="n">
        <x:f aca="0">IF(F52=I52,1,0)</x:f>
        <x:v>0</x:v>
      </x:c>
    </x:row>
    <x:row r="53" ht="35.04999923706055" hidden="0">
      <x:c r="A53" s="6" t="n">
        <x:v>52</x:v>
      </x:c>
      <x:c r="B53" s="6" t="n">
        <x:v>554604</x:v>
      </x:c>
      <x:c r="C53" s="6" t="s">
        <x:v>196</x:v>
      </x:c>
      <x:c r="D53" s="7" t="s">
        <x:v>197</x:v>
      </x:c>
      <x:c r="E53" s="6" t="s">
        <x:v>22</x:v>
      </x:c>
      <x:c r="F53" s="6" t="s">
        <x:v>58</x:v>
      </x:c>
      <x:c r="G53" s="7" t="s">
        <x:v>195</x:v>
      </x:c>
      <x:c r="H53" s="8" t="s">
        <x:v>22</x:v>
      </x:c>
      <x:c r="I53" s="8" t="s">
        <x:v>58</x:v>
      </x:c>
      <x:c r="J53" s="8" t="s">
        <x:v>51</x:v>
      </x:c>
      <x:c r="K53" s="9" t="s">
        <x:v>198</x:v>
      </x:c>
      <x:c r="L53" s="8" t="str">
        <x:v>FALSE</x:v>
      </x:c>
      <x:c r="M53" s="8" t="str">
        <x:v>claude_draft</x:v>
      </x:c>
      <x:c r="N53" s="10" t="n">
        <x:f aca="0">IF(E53=H53,1,0)</x:f>
        <x:v>1</x:v>
      </x:c>
      <x:c r="O53" s="10" t="n">
        <x:f aca="0">IF(F53=I53,1,0)</x:f>
        <x:v>1</x:v>
      </x:c>
    </x:row>
    <x:row r="54" ht="35.04999923706055" hidden="0">
      <x:c r="A54" s="6" t="n">
        <x:v>53</x:v>
      </x:c>
      <x:c r="B54" s="6" t="n">
        <x:v>511685</x:v>
      </x:c>
      <x:c r="C54" s="6" t="s">
        <x:v>199</x:v>
      </x:c>
      <x:c r="D54" s="7" t="s">
        <x:v>200</x:v>
      </x:c>
      <x:c r="E54" s="6" t="s">
        <x:v>22</x:v>
      </x:c>
      <x:c r="F54" s="6" t="s">
        <x:v>58</x:v>
      </x:c>
      <x:c r="G54" s="7" t="s">
        <x:v>195</x:v>
      </x:c>
      <x:c r="H54" s="8" t="s">
        <x:v>21</x:v>
      </x:c>
      <x:c r="I54" s="8" t="s">
        <x:v>45</x:v>
      </x:c>
      <x:c r="J54" s="8" t="s">
        <x:v>47</x:v>
      </x:c>
      <x:c r="K54" s="9" t="s">
        <x:v>201</x:v>
      </x:c>
      <x:c r="L54" s="8" t="str">
        <x:v>FALSE</x:v>
      </x:c>
      <x:c r="M54" s="8" t="str">
        <x:v>GPT-5.6</x:v>
      </x:c>
      <x:c r="N54" s="10" t="n">
        <x:f aca="0">IF(E54=H54,1,0)</x:f>
        <x:v>0</x:v>
      </x:c>
      <x:c r="O54" s="10" t="n">
        <x:f aca="0">IF(F54=I54,1,0)</x:f>
        <x:v>0</x:v>
      </x:c>
    </x:row>
    <x:row r="55" ht="35.04999923706055" hidden="0">
      <x:c r="A55" s="6" t="n">
        <x:v>54</x:v>
      </x:c>
      <x:c r="B55" s="6" t="n">
        <x:v>627702</x:v>
      </x:c>
      <x:c r="C55" s="6" t="s">
        <x:v>202</x:v>
      </x:c>
      <x:c r="D55" s="7" t="s">
        <x:v>203</x:v>
      </x:c>
      <x:c r="E55" s="6" t="s">
        <x:v>22</x:v>
      </x:c>
      <x:c r="F55" s="6" t="s">
        <x:v>58</x:v>
      </x:c>
      <x:c r="G55" s="7" t="s">
        <x:v>195</x:v>
      </x:c>
      <x:c r="H55" s="8" t="s">
        <x:v>22</x:v>
      </x:c>
      <x:c r="I55" s="8" t="s">
        <x:v>58</x:v>
      </x:c>
      <x:c r="J55" s="8" t="s">
        <x:v>51</x:v>
      </x:c>
      <x:c r="K55" s="9" t="s">
        <x:v>204</x:v>
      </x:c>
      <x:c r="L55" s="8" t="str">
        <x:v>FALSE</x:v>
      </x:c>
      <x:c r="M55" s="8" t="str">
        <x:v>claude_draft</x:v>
      </x:c>
      <x:c r="N55" s="10" t="n">
        <x:f aca="0">IF(E55=H55,1,0)</x:f>
        <x:v>1</x:v>
      </x:c>
      <x:c r="O55" s="10" t="n">
        <x:f aca="0">IF(F55=I55,1,0)</x:f>
        <x:v>1</x:v>
      </x:c>
    </x:row>
    <x:row r="56" ht="23.850000381469727" hidden="0">
      <x:c r="A56" s="6" t="n">
        <x:v>55</x:v>
      </x:c>
      <x:c r="B56" s="6" t="n">
        <x:v>470209</x:v>
      </x:c>
      <x:c r="C56" s="6" t="s">
        <x:v>205</x:v>
      </x:c>
      <x:c r="D56" s="7" t="s">
        <x:v>206</x:v>
      </x:c>
      <x:c r="E56" s="6" t="s">
        <x:v>22</x:v>
      </x:c>
      <x:c r="F56" s="6" t="s">
        <x:v>58</x:v>
      </x:c>
      <x:c r="G56" s="7" t="s">
        <x:v>195</x:v>
      </x:c>
      <x:c r="H56" s="8" t="s">
        <x:v>23</x:v>
      </x:c>
      <x:c r="I56" s="8" t="s">
        <x:v>45</x:v>
      </x:c>
      <x:c r="J56" s="8" t="s">
        <x:v>51</x:v>
      </x:c>
      <x:c r="K56" s="9" t="s">
        <x:v>207</x:v>
      </x:c>
      <x:c r="L56" s="8" t="str">
        <x:v>FALSE</x:v>
      </x:c>
      <x:c r="M56" s="8" t="str">
        <x:v>claude_draft</x:v>
      </x:c>
      <x:c r="N56" s="10" t="n">
        <x:f aca="0">IF(E56=H56,1,0)</x:f>
        <x:v>0</x:v>
      </x:c>
      <x:c r="O56" s="10" t="n">
        <x:f aca="0">IF(F56=I56,1,0)</x:f>
        <x:v>0</x:v>
      </x:c>
    </x:row>
    <x:row r="57" ht="23.850000381469727" hidden="0">
      <x:c r="A57" s="6" t="n">
        <x:v>56</x:v>
      </x:c>
      <x:c r="B57" s="6" t="n">
        <x:v>279354</x:v>
      </x:c>
      <x:c r="C57" s="6" t="s">
        <x:v>208</x:v>
      </x:c>
      <x:c r="D57" s="7" t="s">
        <x:v>209</x:v>
      </x:c>
      <x:c r="E57" s="6" t="s">
        <x:v>22</x:v>
      </x:c>
      <x:c r="F57" s="6" t="s">
        <x:v>58</x:v>
      </x:c>
      <x:c r="G57" s="7" t="s">
        <x:v>195</x:v>
      </x:c>
      <x:c r="H57" s="8" t="s">
        <x:v>27</x:v>
      </x:c>
      <x:c r="I57" s="8" t="s">
        <x:v>58</x:v>
      </x:c>
      <x:c r="J57" s="8" t="s">
        <x:v>51</x:v>
      </x:c>
      <x:c r="K57" s="9" t="s">
        <x:v>210</x:v>
      </x:c>
      <x:c r="L57" s="8" t="str">
        <x:v>FALSE</x:v>
      </x:c>
      <x:c r="M57" s="8" t="str">
        <x:v>claude_draft</x:v>
      </x:c>
      <x:c r="N57" s="10" t="n">
        <x:f aca="0">IF(E57=H57,1,0)</x:f>
        <x:v>0</x:v>
      </x:c>
      <x:c r="O57" s="10" t="n">
        <x:f aca="0">IF(F57=I57,1,0)</x:f>
        <x:v>1</x:v>
      </x:c>
    </x:row>
    <x:row r="58" ht="35.04999923706055" hidden="0">
      <x:c r="A58" s="6" t="n">
        <x:v>57</x:v>
      </x:c>
      <x:c r="B58" s="6" t="n">
        <x:v>403533</x:v>
      </x:c>
      <x:c r="C58" s="6" t="s">
        <x:v>211</x:v>
      </x:c>
      <x:c r="D58" s="7" t="s">
        <x:v>212</x:v>
      </x:c>
      <x:c r="E58" s="6" t="s">
        <x:v>22</x:v>
      </x:c>
      <x:c r="F58" s="6" t="s">
        <x:v>58</x:v>
      </x:c>
      <x:c r="G58" s="7" t="s">
        <x:v>195</x:v>
      </x:c>
      <x:c r="H58" s="8" t="s">
        <x:v>22</x:v>
      </x:c>
      <x:c r="I58" s="8" t="s">
        <x:v>58</x:v>
      </x:c>
      <x:c r="J58" s="8" t="s">
        <x:v>51</x:v>
      </x:c>
      <x:c r="K58" s="9" t="s">
        <x:v>213</x:v>
      </x:c>
      <x:c r="L58" s="8" t="str">
        <x:v>FALSE</x:v>
      </x:c>
      <x:c r="M58" s="8" t="str">
        <x:v>claude_draft</x:v>
      </x:c>
      <x:c r="N58" s="10" t="n">
        <x:f aca="0">IF(E58=H58,1,0)</x:f>
        <x:v>1</x:v>
      </x:c>
      <x:c r="O58" s="10" t="n">
        <x:f aca="0">IF(F58=I58,1,0)</x:f>
        <x:v>1</x:v>
      </x:c>
    </x:row>
    <x:row r="59" ht="35.04999923706055" hidden="0">
      <x:c r="A59" s="6" t="n">
        <x:v>58</x:v>
      </x:c>
      <x:c r="B59" s="6" t="n">
        <x:v>495924</x:v>
      </x:c>
      <x:c r="C59" s="6" t="s">
        <x:v>214</x:v>
      </x:c>
      <x:c r="D59" s="7" t="s">
        <x:v>215</x:v>
      </x:c>
      <x:c r="E59" s="6" t="s">
        <x:v>22</x:v>
      </x:c>
      <x:c r="F59" s="6" t="s">
        <x:v>58</x:v>
      </x:c>
      <x:c r="G59" s="7" t="s">
        <x:v>195</x:v>
      </x:c>
      <x:c r="H59" s="8" t="s">
        <x:v>21</x:v>
      </x:c>
      <x:c r="I59" s="8" t="s">
        <x:v>45</x:v>
      </x:c>
      <x:c r="J59" s="8" t="s">
        <x:v>51</x:v>
      </x:c>
      <x:c r="K59" s="9" t="s">
        <x:v>216</x:v>
      </x:c>
      <x:c r="L59" s="8" t="str">
        <x:v>FALSE</x:v>
      </x:c>
      <x:c r="M59" s="8" t="str">
        <x:v>claude_draft</x:v>
      </x:c>
      <x:c r="N59" s="10" t="n">
        <x:f aca="0">IF(E59=H59,1,0)</x:f>
        <x:v>0</x:v>
      </x:c>
      <x:c r="O59" s="10" t="n">
        <x:f aca="0">IF(F59=I59,1,0)</x:f>
        <x:v>0</x:v>
      </x:c>
    </x:row>
    <x:row r="60" ht="23.850000381469727" hidden="0">
      <x:c r="A60" s="6" t="n">
        <x:v>59</x:v>
      </x:c>
      <x:c r="B60" s="6" t="n">
        <x:v>309930</x:v>
      </x:c>
      <x:c r="C60" s="6" t="s">
        <x:v>217</x:v>
      </x:c>
      <x:c r="D60" s="7" t="s">
        <x:v>218</x:v>
      </x:c>
      <x:c r="E60" s="6" t="s">
        <x:v>22</x:v>
      </x:c>
      <x:c r="F60" s="6" t="s">
        <x:v>58</x:v>
      </x:c>
      <x:c r="G60" s="7" t="s">
        <x:v>195</x:v>
      </x:c>
      <x:c r="H60" s="8" t="s">
        <x:v>21</x:v>
      </x:c>
      <x:c r="I60" s="8" t="s">
        <x:v>45</x:v>
      </x:c>
      <x:c r="J60" s="8" t="s">
        <x:v>47</x:v>
      </x:c>
      <x:c r="K60" s="9" t="s">
        <x:v>219</x:v>
      </x:c>
      <x:c r="L60" s="8" t="str">
        <x:v>FALSE</x:v>
      </x:c>
      <x:c r="M60" s="8" t="str">
        <x:v>GPT-5.6</x:v>
      </x:c>
      <x:c r="N60" s="10" t="n">
        <x:f aca="0">IF(E60=H60,1,0)</x:f>
        <x:v>0</x:v>
      </x:c>
      <x:c r="O60" s="10" t="n">
        <x:f aca="0">IF(F60=I60,1,0)</x:f>
        <x:v>0</x:v>
      </x:c>
    </x:row>
    <x:row r="61" ht="57.45000076293945" hidden="0">
      <x:c r="A61" s="6" t="n">
        <x:v>60</x:v>
      </x:c>
      <x:c r="B61" s="6" t="n">
        <x:v>550571</x:v>
      </x:c>
      <x:c r="C61" s="6" t="s">
        <x:v>220</x:v>
      </x:c>
      <x:c r="D61" s="7" t="s">
        <x:v>221</x:v>
      </x:c>
      <x:c r="E61" s="6" t="s">
        <x:v>22</x:v>
      </x:c>
      <x:c r="F61" s="6" t="s">
        <x:v>58</x:v>
      </x:c>
      <x:c r="G61" s="7" t="s">
        <x:v>195</x:v>
      </x:c>
      <x:c r="H61" s="8" t="s">
        <x:v>22</x:v>
      </x:c>
      <x:c r="I61" s="8" t="s">
        <x:v>58</x:v>
      </x:c>
      <x:c r="J61" s="8" t="s">
        <x:v>51</x:v>
      </x:c>
      <x:c r="K61" s="9" t="s">
        <x:v>222</x:v>
      </x:c>
      <x:c r="L61" s="8" t="str">
        <x:v>FALSE</x:v>
      </x:c>
      <x:c r="M61" s="8" t="str">
        <x:v>claude_draft</x:v>
      </x:c>
      <x:c r="N61" s="10" t="n">
        <x:f aca="0">IF(E61=H61,1,0)</x:f>
        <x:v>1</x:v>
      </x:c>
      <x:c r="O61" s="10" t="n">
        <x:f aca="0">IF(F61=I61,1,0)</x:f>
        <x:v>1</x:v>
      </x:c>
    </x:row>
    <x:row r="62" ht="23.850000381469727" hidden="0">
      <x:c r="A62" s="6" t="n">
        <x:v>61</x:v>
      </x:c>
      <x:c r="B62" s="6" t="n">
        <x:v>394062</x:v>
      </x:c>
      <x:c r="C62" s="6" t="s">
        <x:v>223</x:v>
      </x:c>
      <x:c r="D62" s="7" t="s">
        <x:v>224</x:v>
      </x:c>
      <x:c r="E62" s="6" t="s">
        <x:v>22</x:v>
      </x:c>
      <x:c r="F62" s="6" t="s">
        <x:v>58</x:v>
      </x:c>
      <x:c r="G62" s="7" t="s">
        <x:v>195</x:v>
      </x:c>
      <x:c r="H62" s="8" t="s">
        <x:v>21</x:v>
      </x:c>
      <x:c r="I62" s="8" t="s">
        <x:v>45</x:v>
      </x:c>
      <x:c r="J62" s="8" t="s">
        <x:v>47</x:v>
      </x:c>
      <x:c r="K62" s="9" t="s">
        <x:v>225</x:v>
      </x:c>
      <x:c r="L62" s="8" t="str">
        <x:v>FALSE</x:v>
      </x:c>
      <x:c r="M62" s="8" t="str">
        <x:v>GPT-5.6</x:v>
      </x:c>
      <x:c r="N62" s="10" t="n">
        <x:f aca="0">IF(E62=H62,1,0)</x:f>
        <x:v>0</x:v>
      </x:c>
      <x:c r="O62" s="10" t="n">
        <x:f aca="0">IF(F62=I62,1,0)</x:f>
        <x:v>0</x:v>
      </x:c>
    </x:row>
    <x:row r="63" ht="23.850000381469727" hidden="0">
      <x:c r="A63" s="6" t="n">
        <x:v>62</x:v>
      </x:c>
      <x:c r="B63" s="6" t="n">
        <x:v>599036</x:v>
      </x:c>
      <x:c r="C63" s="6" t="s">
        <x:v>226</x:v>
      </x:c>
      <x:c r="D63" s="7" t="s">
        <x:v>227</x:v>
      </x:c>
      <x:c r="E63" s="6" t="s">
        <x:v>22</x:v>
      </x:c>
      <x:c r="F63" s="6" t="s">
        <x:v>58</x:v>
      </x:c>
      <x:c r="G63" s="7" t="s">
        <x:v>195</x:v>
      </x:c>
      <x:c r="H63" s="8" t="s">
        <x:v>22</x:v>
      </x:c>
      <x:c r="I63" s="8" t="s">
        <x:v>58</x:v>
      </x:c>
      <x:c r="J63" s="8" t="s">
        <x:v>51</x:v>
      </x:c>
      <x:c r="K63" s="9" t="s">
        <x:v>228</x:v>
      </x:c>
      <x:c r="L63" s="8" t="str">
        <x:v>FALSE</x:v>
      </x:c>
      <x:c r="M63" s="8" t="str">
        <x:v>claude_draft</x:v>
      </x:c>
      <x:c r="N63" s="10" t="n">
        <x:f aca="0">IF(E63=H63,1,0)</x:f>
        <x:v>1</x:v>
      </x:c>
      <x:c r="O63" s="10" t="n">
        <x:f aca="0">IF(F63=I63,1,0)</x:f>
        <x:v>1</x:v>
      </x:c>
    </x:row>
    <x:row r="64" ht="23.850000381469727" hidden="0">
      <x:c r="A64" s="6" t="n">
        <x:v>63</x:v>
      </x:c>
      <x:c r="B64" s="6" t="n">
        <x:v>760409</x:v>
      </x:c>
      <x:c r="C64" s="6" t="s">
        <x:v>229</x:v>
      </x:c>
      <x:c r="D64" s="7" t="s">
        <x:v>230</x:v>
      </x:c>
      <x:c r="E64" s="6" t="s">
        <x:v>22</x:v>
      </x:c>
      <x:c r="F64" s="6" t="s">
        <x:v>58</x:v>
      </x:c>
      <x:c r="G64" s="7" t="s">
        <x:v>195</x:v>
      </x:c>
      <x:c r="H64" s="8" t="s">
        <x:v>21</x:v>
      </x:c>
      <x:c r="I64" s="8" t="s">
        <x:v>45</x:v>
      </x:c>
      <x:c r="J64" s="8" t="s">
        <x:v>47</x:v>
      </x:c>
      <x:c r="K64" s="9" t="s">
        <x:v>231</x:v>
      </x:c>
      <x:c r="L64" s="8" t="str">
        <x:v>FALSE</x:v>
      </x:c>
      <x:c r="M64" s="8" t="str">
        <x:v>GPT-5.6</x:v>
      </x:c>
      <x:c r="N64" s="10" t="n">
        <x:f aca="0">IF(E64=H64,1,0)</x:f>
        <x:v>0</x:v>
      </x:c>
      <x:c r="O64" s="10" t="n">
        <x:f aca="0">IF(F64=I64,1,0)</x:f>
        <x:v>0</x:v>
      </x:c>
    </x:row>
    <x:row r="65" ht="23.850000381469727" hidden="0">
      <x:c r="A65" s="6" t="n">
        <x:v>64</x:v>
      </x:c>
      <x:c r="B65" s="6" t="n">
        <x:v>796483</x:v>
      </x:c>
      <x:c r="C65" s="6" t="s">
        <x:v>232</x:v>
      </x:c>
      <x:c r="D65" s="7" t="s">
        <x:v>233</x:v>
      </x:c>
      <x:c r="E65" s="6" t="s">
        <x:v>22</x:v>
      </x:c>
      <x:c r="F65" s="6" t="s">
        <x:v>58</x:v>
      </x:c>
      <x:c r="G65" s="7" t="s">
        <x:v>195</x:v>
      </x:c>
      <x:c r="H65" s="8" t="s">
        <x:v>22</x:v>
      </x:c>
      <x:c r="I65" s="8" t="s">
        <x:v>58</x:v>
      </x:c>
      <x:c r="J65" s="8" t="s">
        <x:v>51</x:v>
      </x:c>
      <x:c r="K65" s="9" t="s">
        <x:v>234</x:v>
      </x:c>
      <x:c r="L65" s="8" t="str">
        <x:v>FALSE</x:v>
      </x:c>
      <x:c r="M65" s="8" t="str">
        <x:v>claude_draft</x:v>
      </x:c>
      <x:c r="N65" s="10" t="n">
        <x:f aca="0">IF(E65=H65,1,0)</x:f>
        <x:v>1</x:v>
      </x:c>
      <x:c r="O65" s="10" t="n">
        <x:f aca="0">IF(F65=I65,1,0)</x:f>
        <x:v>1</x:v>
      </x:c>
    </x:row>
    <x:row r="66" ht="23.850000381469727" hidden="0">
      <x:c r="A66" s="6" t="n">
        <x:v>65</x:v>
      </x:c>
      <x:c r="B66" s="6" t="n">
        <x:v>788224</x:v>
      </x:c>
      <x:c r="C66" s="6" t="s">
        <x:v>235</x:v>
      </x:c>
      <x:c r="D66" s="7" t="s">
        <x:v>236</x:v>
      </x:c>
      <x:c r="E66" s="6" t="s">
        <x:v>22</x:v>
      </x:c>
      <x:c r="F66" s="6" t="s">
        <x:v>58</x:v>
      </x:c>
      <x:c r="G66" s="7" t="s">
        <x:v>195</x:v>
      </x:c>
      <x:c r="H66" s="8" t="s">
        <x:v>22</x:v>
      </x:c>
      <x:c r="I66" s="8" t="s">
        <x:v>58</x:v>
      </x:c>
      <x:c r="J66" s="8" t="s">
        <x:v>47</x:v>
      </x:c>
      <x:c r="K66" s="9" t="s">
        <x:v>237</x:v>
      </x:c>
      <x:c r="L66" s="8" t="str">
        <x:v>FALSE</x:v>
      </x:c>
      <x:c r="M66" s="8" t="str">
        <x:v>GPT-5.6</x:v>
      </x:c>
      <x:c r="N66" s="10" t="n">
        <x:f aca="0">IF(E66=H66,1,0)</x:f>
        <x:v>1</x:v>
      </x:c>
      <x:c r="O66" s="10" t="n">
        <x:f aca="0">IF(F66=I66,1,0)</x:f>
        <x:v>1</x:v>
      </x:c>
    </x:row>
    <x:row r="67" ht="23.850000381469727" hidden="0">
      <x:c r="A67" s="6" t="n">
        <x:v>66</x:v>
      </x:c>
      <x:c r="B67" s="6" t="n">
        <x:v>227362</x:v>
      </x:c>
      <x:c r="C67" s="6" t="s">
        <x:v>238</x:v>
      </x:c>
      <x:c r="D67" s="7" t="s">
        <x:v>239</x:v>
      </x:c>
      <x:c r="E67" s="6" t="s">
        <x:v>22</x:v>
      </x:c>
      <x:c r="F67" s="6" t="s">
        <x:v>58</x:v>
      </x:c>
      <x:c r="G67" s="7" t="s">
        <x:v>195</x:v>
      </x:c>
      <x:c r="H67" s="8" t="s">
        <x:v>25</x:v>
      </x:c>
      <x:c r="I67" s="8" t="s">
        <x:v>45</x:v>
      </x:c>
      <x:c r="J67" s="8" t="s">
        <x:v>47</x:v>
      </x:c>
      <x:c r="K67" s="9" t="s">
        <x:v>240</x:v>
      </x:c>
      <x:c r="L67" s="8" t="str">
        <x:v>FALSE</x:v>
      </x:c>
      <x:c r="M67" s="8" t="str">
        <x:v>GPT-5.6</x:v>
      </x:c>
      <x:c r="N67" s="10" t="n">
        <x:f aca="0">IF(E67=H67,1,0)</x:f>
        <x:v>0</x:v>
      </x:c>
      <x:c r="O67" s="10" t="n">
        <x:f aca="0">IF(F67=I67,1,0)</x:f>
        <x:v>0</x:v>
      </x:c>
    </x:row>
    <x:row r="68" ht="46.25" hidden="0">
      <x:c r="A68" s="6" t="n">
        <x:v>67</x:v>
      </x:c>
      <x:c r="B68" s="6" t="n">
        <x:v>485345</x:v>
      </x:c>
      <x:c r="C68" s="6" t="s">
        <x:v>241</x:v>
      </x:c>
      <x:c r="D68" s="7" t="s">
        <x:v>242</x:v>
      </x:c>
      <x:c r="E68" s="6" t="s">
        <x:v>22</x:v>
      </x:c>
      <x:c r="F68" s="6" t="s">
        <x:v>58</x:v>
      </x:c>
      <x:c r="G68" s="7" t="s">
        <x:v>195</x:v>
      </x:c>
      <x:c r="H68" s="8" t="s">
        <x:v>22</x:v>
      </x:c>
      <x:c r="I68" s="8" t="s">
        <x:v>58</x:v>
      </x:c>
      <x:c r="J68" s="8" t="s">
        <x:v>47</x:v>
      </x:c>
      <x:c r="K68" s="9" t="s">
        <x:v>243</x:v>
      </x:c>
      <x:c r="L68" s="8" t="str">
        <x:v>FALSE</x:v>
      </x:c>
      <x:c r="M68" s="8" t="str">
        <x:v>GPT-5.6</x:v>
      </x:c>
      <x:c r="N68" s="10" t="n">
        <x:f aca="0">IF(E68=H68,1,0)</x:f>
        <x:v>1</x:v>
      </x:c>
      <x:c r="O68" s="10" t="n">
        <x:f aca="0">IF(F68=I68,1,0)</x:f>
        <x:v>1</x:v>
      </x:c>
    </x:row>
    <x:row r="69" ht="35.04999923706055" hidden="0">
      <x:c r="A69" s="6" t="n">
        <x:v>68</x:v>
      </x:c>
      <x:c r="B69" s="6" t="n">
        <x:v>105163</x:v>
      </x:c>
      <x:c r="C69" s="6" t="s">
        <x:v>244</x:v>
      </x:c>
      <x:c r="D69" s="7" t="s">
        <x:v>245</x:v>
      </x:c>
      <x:c r="E69" s="6" t="s">
        <x:v>22</x:v>
      </x:c>
      <x:c r="F69" s="6" t="s">
        <x:v>58</x:v>
      </x:c>
      <x:c r="G69" s="7" t="s">
        <x:v>195</x:v>
      </x:c>
      <x:c r="H69" s="8" t="s">
        <x:v>22</x:v>
      </x:c>
      <x:c r="I69" s="8" t="s">
        <x:v>58</x:v>
      </x:c>
      <x:c r="J69" s="8" t="s">
        <x:v>51</x:v>
      </x:c>
      <x:c r="K69" s="9" t="s">
        <x:v>246</x:v>
      </x:c>
      <x:c r="L69" s="8" t="str">
        <x:v>FALSE</x:v>
      </x:c>
      <x:c r="M69" s="8" t="str">
        <x:v>claude_draft</x:v>
      </x:c>
      <x:c r="N69" s="10" t="n">
        <x:f aca="0">IF(E69=H69,1,0)</x:f>
        <x:v>1</x:v>
      </x:c>
      <x:c r="O69" s="10" t="n">
        <x:f aca="0">IF(F69=I69,1,0)</x:f>
        <x:v>1</x:v>
      </x:c>
    </x:row>
    <x:row r="70" ht="35.04999923706055" hidden="0">
      <x:c r="A70" s="6" t="n">
        <x:v>69</x:v>
      </x:c>
      <x:c r="B70" s="6" t="n">
        <x:v>332024</x:v>
      </x:c>
      <x:c r="C70" s="6" t="s">
        <x:v>247</x:v>
      </x:c>
      <x:c r="D70" s="7" t="s">
        <x:v>248</x:v>
      </x:c>
      <x:c r="E70" s="6" t="s">
        <x:v>22</x:v>
      </x:c>
      <x:c r="F70" s="6" t="s">
        <x:v>58</x:v>
      </x:c>
      <x:c r="G70" s="7" t="s">
        <x:v>195</x:v>
      </x:c>
      <x:c r="H70" s="8" t="s">
        <x:v>22</x:v>
      </x:c>
      <x:c r="I70" s="8" t="s">
        <x:v>58</x:v>
      </x:c>
      <x:c r="J70" s="8" t="s">
        <x:v>51</x:v>
      </x:c>
      <x:c r="K70" s="9" t="s">
        <x:v>204</x:v>
      </x:c>
      <x:c r="L70" s="8" t="str">
        <x:v>FALSE</x:v>
      </x:c>
      <x:c r="M70" s="8" t="str">
        <x:v>claude_draft</x:v>
      </x:c>
      <x:c r="N70" s="10" t="n">
        <x:f aca="0">IF(E70=H70,1,0)</x:f>
        <x:v>1</x:v>
      </x:c>
      <x:c r="O70" s="10" t="n">
        <x:f aca="0">IF(F70=I70,1,0)</x:f>
        <x:v>1</x:v>
      </x:c>
    </x:row>
    <x:row r="71" ht="35.04999923706055" hidden="0">
      <x:c r="A71" s="6" t="n">
        <x:v>70</x:v>
      </x:c>
      <x:c r="B71" s="6" t="n">
        <x:v>169560</x:v>
      </x:c>
      <x:c r="C71" s="6" t="s">
        <x:v>249</x:v>
      </x:c>
      <x:c r="D71" s="7" t="s">
        <x:v>250</x:v>
      </x:c>
      <x:c r="E71" s="6" t="s">
        <x:v>22</x:v>
      </x:c>
      <x:c r="F71" s="6" t="s">
        <x:v>58</x:v>
      </x:c>
      <x:c r="G71" s="7" t="s">
        <x:v>195</x:v>
      </x:c>
      <x:c r="H71" s="8" t="s">
        <x:v>21</x:v>
      </x:c>
      <x:c r="I71" s="8" t="s">
        <x:v>45</x:v>
      </x:c>
      <x:c r="J71" s="8" t="s">
        <x:v>51</x:v>
      </x:c>
      <x:c r="K71" s="9" t="s">
        <x:v>251</x:v>
      </x:c>
      <x:c r="L71" s="8" t="str">
        <x:v>FALSE</x:v>
      </x:c>
      <x:c r="M71" s="8" t="str">
        <x:v>claude_draft</x:v>
      </x:c>
      <x:c r="N71" s="10" t="n">
        <x:f aca="0">IF(E71=H71,1,0)</x:f>
        <x:v>0</x:v>
      </x:c>
      <x:c r="O71" s="10" t="n">
        <x:f aca="0">IF(F71=I71,1,0)</x:f>
        <x:v>0</x:v>
      </x:c>
    </x:row>
    <x:row r="72" ht="57.45000076293945" hidden="0">
      <x:c r="A72" s="6" t="n">
        <x:v>71</x:v>
      </x:c>
      <x:c r="B72" s="6" t="n">
        <x:v>103088</x:v>
      </x:c>
      <x:c r="C72" s="6" t="s">
        <x:v>252</x:v>
      </x:c>
      <x:c r="D72" s="7" t="s">
        <x:v>253</x:v>
      </x:c>
      <x:c r="E72" s="6" t="s">
        <x:v>22</x:v>
      </x:c>
      <x:c r="F72" s="6" t="s">
        <x:v>58</x:v>
      </x:c>
      <x:c r="G72" s="7" t="s">
        <x:v>195</x:v>
      </x:c>
      <x:c r="H72" s="8" t="s">
        <x:v>22</x:v>
      </x:c>
      <x:c r="I72" s="8" t="s">
        <x:v>58</x:v>
      </x:c>
      <x:c r="J72" s="8" t="s">
        <x:v>51</x:v>
      </x:c>
      <x:c r="K72" s="9" t="s">
        <x:v>254</x:v>
      </x:c>
      <x:c r="L72" s="8" t="str">
        <x:v>FALSE</x:v>
      </x:c>
      <x:c r="M72" s="8" t="str">
        <x:v>claude_draft</x:v>
      </x:c>
      <x:c r="N72" s="10" t="n">
        <x:f aca="0">IF(E72=H72,1,0)</x:f>
        <x:v>1</x:v>
      </x:c>
      <x:c r="O72" s="10" t="n">
        <x:f aca="0">IF(F72=I72,1,0)</x:f>
        <x:v>1</x:v>
      </x:c>
    </x:row>
    <x:row r="73" ht="35.04999923706055" hidden="0">
      <x:c r="A73" s="6" t="n">
        <x:v>72</x:v>
      </x:c>
      <x:c r="B73" s="6" t="n">
        <x:v>254642</x:v>
      </x:c>
      <x:c r="C73" s="6" t="s">
        <x:v>255</x:v>
      </x:c>
      <x:c r="D73" s="7" t="s">
        <x:v>256</x:v>
      </x:c>
      <x:c r="E73" s="6" t="s">
        <x:v>22</x:v>
      </x:c>
      <x:c r="F73" s="6" t="s">
        <x:v>58</x:v>
      </x:c>
      <x:c r="G73" s="7" t="s">
        <x:v>195</x:v>
      </x:c>
      <x:c r="H73" s="8" t="s">
        <x:v>27</x:v>
      </x:c>
      <x:c r="I73" s="8" t="s">
        <x:v>45</x:v>
      </x:c>
      <x:c r="J73" s="8" t="s">
        <x:v>100</x:v>
      </x:c>
      <x:c r="K73" s="9" t="s">
        <x:v>257</x:v>
      </x:c>
      <x:c r="L73" s="8" t="str">
        <x:v>FALSE</x:v>
      </x:c>
      <x:c r="M73" s="8" t="str">
        <x:v>GPT-5.6</x:v>
      </x:c>
      <x:c r="N73" s="10" t="n">
        <x:f aca="0">IF(E73=H73,1,0)</x:f>
        <x:v>0</x:v>
      </x:c>
      <x:c r="O73" s="10" t="n">
        <x:f aca="0">IF(F73=I73,1,0)</x:f>
        <x:v>0</x:v>
      </x:c>
    </x:row>
    <x:row r="74" ht="23.850000381469727" hidden="0">
      <x:c r="A74" s="6" t="n">
        <x:v>73</x:v>
      </x:c>
      <x:c r="B74" s="6" t="n">
        <x:v>128035</x:v>
      </x:c>
      <x:c r="C74" s="6" t="s">
        <x:v>258</x:v>
      </x:c>
      <x:c r="D74" s="7" t="s">
        <x:v>259</x:v>
      </x:c>
      <x:c r="E74" s="6" t="s">
        <x:v>22</x:v>
      </x:c>
      <x:c r="F74" s="6" t="s">
        <x:v>58</x:v>
      </x:c>
      <x:c r="G74" s="7" t="s">
        <x:v>195</x:v>
      </x:c>
      <x:c r="H74" s="8" t="s">
        <x:v>23</x:v>
      </x:c>
      <x:c r="I74" s="8" t="s">
        <x:v>58</x:v>
      </x:c>
      <x:c r="J74" s="8" t="s">
        <x:v>47</x:v>
      </x:c>
      <x:c r="K74" s="9" t="s">
        <x:v>260</x:v>
      </x:c>
      <x:c r="L74" s="8" t="str">
        <x:v>FALSE</x:v>
      </x:c>
      <x:c r="M74" s="8" t="str">
        <x:v>GPT-5.6</x:v>
      </x:c>
      <x:c r="N74" s="10" t="n">
        <x:f aca="0">IF(E74=H74,1,0)</x:f>
        <x:v>0</x:v>
      </x:c>
      <x:c r="O74" s="10" t="n">
        <x:f aca="0">IF(F74=I74,1,0)</x:f>
        <x:v>1</x:v>
      </x:c>
    </x:row>
    <x:row r="75" ht="57.45000076293945" hidden="0">
      <x:c r="A75" s="6" t="n">
        <x:v>74</x:v>
      </x:c>
      <x:c r="B75" s="6" t="n">
        <x:v>485338</x:v>
      </x:c>
      <x:c r="C75" s="6" t="s">
        <x:v>261</x:v>
      </x:c>
      <x:c r="D75" s="7" t="s">
        <x:v>262</x:v>
      </x:c>
      <x:c r="E75" s="6" t="s">
        <x:v>22</x:v>
      </x:c>
      <x:c r="F75" s="6" t="s">
        <x:v>58</x:v>
      </x:c>
      <x:c r="G75" s="7" t="s">
        <x:v>195</x:v>
      </x:c>
      <x:c r="H75" s="8" t="s">
        <x:v>22</x:v>
      </x:c>
      <x:c r="I75" s="8" t="s">
        <x:v>58</x:v>
      </x:c>
      <x:c r="J75" s="8" t="s">
        <x:v>47</x:v>
      </x:c>
      <x:c r="K75" s="9" t="s">
        <x:v>263</x:v>
      </x:c>
      <x:c r="L75" s="8" t="str">
        <x:v>FALSE</x:v>
      </x:c>
      <x:c r="M75" s="8" t="str">
        <x:v>GPT-5.6</x:v>
      </x:c>
      <x:c r="N75" s="10" t="n">
        <x:f aca="0">IF(E75=H75,1,0)</x:f>
        <x:v>1</x:v>
      </x:c>
      <x:c r="O75" s="10" t="n">
        <x:f aca="0">IF(F75=I75,1,0)</x:f>
        <x:v>1</x:v>
      </x:c>
    </x:row>
    <x:row r="76" ht="46.25" hidden="0">
      <x:c r="A76" s="6" t="n">
        <x:v>75</x:v>
      </x:c>
      <x:c r="B76" s="6" t="n">
        <x:v>30005</x:v>
      </x:c>
      <x:c r="C76" s="6" t="s">
        <x:v>264</x:v>
      </x:c>
      <x:c r="D76" s="7" t="s">
        <x:v>265</x:v>
      </x:c>
      <x:c r="E76" s="6" t="s">
        <x:v>22</x:v>
      </x:c>
      <x:c r="F76" s="6" t="s">
        <x:v>58</x:v>
      </x:c>
      <x:c r="G76" s="7" t="s">
        <x:v>195</x:v>
      </x:c>
      <x:c r="H76" s="8" t="str">
        <x:v>delivery_failed</x:v>
      </x:c>
      <x:c r="I76" s="8" t="str">
        <x:v>escalate</x:v>
      </x:c>
      <x:c r="J76" s="8" t="str">
        <x:v>HIGH</x:v>
      </x:c>
      <x:c r="K76" s="9" t="str">
        <x:v>Account says delivered but customer does not have the parcel</x:v>
      </x:c>
      <x:c r="L76" s="8" t="str">
        <x:v>FALSE</x:v>
      </x:c>
      <x:c r="M76" s="8" t="str">
        <x:v>GPT-5.6</x:v>
      </x:c>
      <x:c r="N76" s="10" t="n">
        <x:f aca="0">IF(E76=H76,1,0)</x:f>
        <x:v>1</x:v>
      </x:c>
      <x:c r="O76" s="10" t="n">
        <x:f aca="0">IF(F76=I76,1,0)</x:f>
        <x:v>1</x:v>
      </x:c>
    </x:row>
    <x:row r="77" ht="23.850000381469727" hidden="0">
      <x:c r="A77" s="6" t="n">
        <x:v>76</x:v>
      </x:c>
      <x:c r="B77" s="6" t="n">
        <x:v>550518</x:v>
      </x:c>
      <x:c r="C77" s="6" t="s">
        <x:v>266</x:v>
      </x:c>
      <x:c r="D77" s="7" t="s">
        <x:v>267</x:v>
      </x:c>
      <x:c r="E77" s="6" t="s">
        <x:v>22</x:v>
      </x:c>
      <x:c r="F77" s="6" t="s">
        <x:v>58</x:v>
      </x:c>
      <x:c r="G77" s="7" t="s">
        <x:v>195</x:v>
      </x:c>
      <x:c r="H77" s="8" t="str">
        <x:v>shipping_inquiry</x:v>
      </x:c>
      <x:c r="I77" s="8" t="str">
        <x:v>auto</x:v>
      </x:c>
      <x:c r="J77" s="8" t="str">
        <x:v>MEDIUM</x:v>
      </x:c>
      <x:c r="K77" s="9" t="str">
        <x:v>Conditional cancellation threat due missed delivery; no clear long-overdue or existing-case trigger</x:v>
      </x:c>
      <x:c r="L77" s="8" t="str">
        <x:v>FALSE</x:v>
      </x:c>
      <x:c r="M77" s="8" t="str">
        <x:v>GPT-5.6</x:v>
      </x:c>
      <x:c r="N77" s="10" t="n">
        <x:f aca="0">IF(E77=H77,1,0)</x:f>
        <x:v>0</x:v>
      </x:c>
      <x:c r="O77" s="10" t="n">
        <x:f aca="0">IF(F77=I77,1,0)</x:f>
        <x:v>0</x:v>
      </x:c>
    </x:row>
    <x:row r="78" ht="23.850000381469727" hidden="0">
      <x:c r="A78" s="6" t="n">
        <x:v>77</x:v>
      </x:c>
      <x:c r="B78" s="6" t="n">
        <x:v>711639</x:v>
      </x:c>
      <x:c r="C78" s="6" t="s">
        <x:v>268</x:v>
      </x:c>
      <x:c r="D78" s="7" t="s">
        <x:v>269</x:v>
      </x:c>
      <x:c r="E78" s="6" t="s">
        <x:v>22</x:v>
      </x:c>
      <x:c r="F78" s="6" t="s">
        <x:v>58</x:v>
      </x:c>
      <x:c r="G78" s="7" t="s">
        <x:v>195</x:v>
      </x:c>
      <x:c r="H78" s="8" t="s">
        <x:v>21</x:v>
      </x:c>
      <x:c r="I78" s="8" t="s">
        <x:v>45</x:v>
      </x:c>
      <x:c r="J78" s="8" t="s">
        <x:v>51</x:v>
      </x:c>
      <x:c r="K78" s="9" t="s">
        <x:v>270</x:v>
      </x:c>
      <x:c r="L78" s="8" t="str">
        <x:v>FALSE</x:v>
      </x:c>
      <x:c r="M78" s="8" t="str">
        <x:v>claude_draft</x:v>
      </x:c>
      <x:c r="N78" s="10" t="n">
        <x:f aca="0">IF(E78=H78,1,0)</x:f>
        <x:v>0</x:v>
      </x:c>
      <x:c r="O78" s="10" t="n">
        <x:f aca="0">IF(F78=I78,1,0)</x:f>
        <x:v>0</x:v>
      </x:c>
    </x:row>
    <x:row r="79" ht="35.04999923706055" hidden="0">
      <x:c r="A79" s="6" t="n">
        <x:v>78</x:v>
      </x:c>
      <x:c r="B79" s="6" t="n">
        <x:v>439253</x:v>
      </x:c>
      <x:c r="C79" s="6" t="s">
        <x:v>271</x:v>
      </x:c>
      <x:c r="D79" s="7" t="s">
        <x:v>272</x:v>
      </x:c>
      <x:c r="E79" s="6" t="s">
        <x:v>22</x:v>
      </x:c>
      <x:c r="F79" s="6" t="s">
        <x:v>58</x:v>
      </x:c>
      <x:c r="G79" s="7" t="s">
        <x:v>195</x:v>
      </x:c>
      <x:c r="H79" s="8" t="s">
        <x:v>23</x:v>
      </x:c>
      <x:c r="I79" s="8" t="s">
        <x:v>58</x:v>
      </x:c>
      <x:c r="J79" s="8" t="s">
        <x:v>51</x:v>
      </x:c>
      <x:c r="K79" s="9" t="s">
        <x:v>273</x:v>
      </x:c>
      <x:c r="L79" s="8" t="str">
        <x:v>FALSE</x:v>
      </x:c>
      <x:c r="M79" s="8" t="str">
        <x:v>claude_draft</x:v>
      </x:c>
      <x:c r="N79" s="10" t="n">
        <x:f aca="0">IF(E79=H79,1,0)</x:f>
        <x:v>0</x:v>
      </x:c>
      <x:c r="O79" s="10" t="n">
        <x:f aca="0">IF(F79=I79,1,0)</x:f>
        <x:v>1</x:v>
      </x:c>
    </x:row>
    <x:row r="80" ht="23.850000381469727" hidden="0">
      <x:c r="A80" s="6" t="n">
        <x:v>79</x:v>
      </x:c>
      <x:c r="B80" s="6" t="n">
        <x:v>420655</x:v>
      </x:c>
      <x:c r="C80" s="6" t="s">
        <x:v>274</x:v>
      </x:c>
      <x:c r="D80" s="7" t="s">
        <x:v>275</x:v>
      </x:c>
      <x:c r="E80" s="6" t="s">
        <x:v>22</x:v>
      </x:c>
      <x:c r="F80" s="6" t="s">
        <x:v>58</x:v>
      </x:c>
      <x:c r="G80" s="7" t="s">
        <x:v>195</x:v>
      </x:c>
      <x:c r="H80" s="8" t="s">
        <x:v>21</x:v>
      </x:c>
      <x:c r="I80" s="8" t="s">
        <x:v>45</x:v>
      </x:c>
      <x:c r="J80" s="8" t="s">
        <x:v>47</x:v>
      </x:c>
      <x:c r="K80" s="9" t="s">
        <x:v>231</x:v>
      </x:c>
      <x:c r="L80" s="8" t="str">
        <x:v>FALSE</x:v>
      </x:c>
      <x:c r="M80" s="8" t="str">
        <x:v>GPT-5.6</x:v>
      </x:c>
      <x:c r="N80" s="10" t="n">
        <x:f aca="0">IF(E80=H80,1,0)</x:f>
        <x:v>0</x:v>
      </x:c>
      <x:c r="O80" s="10" t="n">
        <x:f aca="0">IF(F80=I80,1,0)</x:f>
        <x:v>0</x:v>
      </x:c>
    </x:row>
    <x:row r="81" ht="46.25" hidden="0">
      <x:c r="A81" s="6" t="n">
        <x:v>80</x:v>
      </x:c>
      <x:c r="B81" s="6" t="n">
        <x:v>63897</x:v>
      </x:c>
      <x:c r="C81" s="6" t="s">
        <x:v>276</x:v>
      </x:c>
      <x:c r="D81" s="7" t="s">
        <x:v>277</x:v>
      </x:c>
      <x:c r="E81" s="6" t="s">
        <x:v>22</x:v>
      </x:c>
      <x:c r="F81" s="6" t="s">
        <x:v>58</x:v>
      </x:c>
      <x:c r="G81" s="7" t="s">
        <x:v>195</x:v>
      </x:c>
      <x:c r="H81" s="8" t="s">
        <x:v>22</x:v>
      </x:c>
      <x:c r="I81" s="8" t="s">
        <x:v>58</x:v>
      </x:c>
      <x:c r="J81" s="8" t="s">
        <x:v>47</x:v>
      </x:c>
      <x:c r="K81" s="9" t="s">
        <x:v>278</x:v>
      </x:c>
      <x:c r="L81" s="8" t="str">
        <x:v>FALSE</x:v>
      </x:c>
      <x:c r="M81" s="8" t="str">
        <x:v>GPT-5.6</x:v>
      </x:c>
      <x:c r="N81" s="10" t="n">
        <x:f aca="0">IF(E81=H81,1,0)</x:f>
        <x:v>1</x:v>
      </x:c>
      <x:c r="O81" s="10" t="n">
        <x:f aca="0">IF(F81=I81,1,0)</x:f>
        <x:v>1</x:v>
      </x:c>
    </x:row>
    <x:row r="82" ht="35.04999923706055" hidden="0">
      <x:c r="A82" s="6" t="n">
        <x:v>81</x:v>
      </x:c>
      <x:c r="B82" s="6" t="n">
        <x:v>459915</x:v>
      </x:c>
      <x:c r="C82" s="6" t="s">
        <x:v>279</x:v>
      </x:c>
      <x:c r="D82" s="7" t="s">
        <x:v>280</x:v>
      </x:c>
      <x:c r="E82" s="6" t="s">
        <x:v>22</x:v>
      </x:c>
      <x:c r="F82" s="6" t="s">
        <x:v>58</x:v>
      </x:c>
      <x:c r="G82" s="7" t="s">
        <x:v>195</x:v>
      </x:c>
      <x:c r="H82" s="8" t="str">
        <x:v>shipping_inquiry</x:v>
      </x:c>
      <x:c r="I82" s="8" t="str">
        <x:v>auto</x:v>
      </x:c>
      <x:c r="J82" s="8" t="str">
        <x:v>MEDIUM</x:v>
      </x:c>
      <x:c r="K82" s="9" t="str">
        <x:v>Repeated late-delivery complaint, but no explicit long-overdue/lost/marked-delivered trigger</x:v>
      </x:c>
      <x:c r="L82" s="8" t="str">
        <x:v>FALSE</x:v>
      </x:c>
      <x:c r="M82" s="8" t="str">
        <x:v>GPT-5.6</x:v>
      </x:c>
      <x:c r="N82" s="10" t="n">
        <x:f aca="0">IF(E82=H82,1,0)</x:f>
        <x:v>0</x:v>
      </x:c>
      <x:c r="O82" s="10" t="n">
        <x:f aca="0">IF(F82=I82,1,0)</x:f>
        <x:v>0</x:v>
      </x:c>
    </x:row>
    <x:row r="83" ht="23.850000381469727" hidden="0">
      <x:c r="A83" s="6" t="n">
        <x:v>82</x:v>
      </x:c>
      <x:c r="B83" s="6" t="n">
        <x:v>133858</x:v>
      </x:c>
      <x:c r="C83" s="6" t="s">
        <x:v>281</x:v>
      </x:c>
      <x:c r="D83" s="7" t="s">
        <x:v>282</x:v>
      </x:c>
      <x:c r="E83" s="6" t="s">
        <x:v>22</x:v>
      </x:c>
      <x:c r="F83" s="6" t="s">
        <x:v>58</x:v>
      </x:c>
      <x:c r="G83" s="7" t="s">
        <x:v>195</x:v>
      </x:c>
      <x:c r="H83" s="8" t="s">
        <x:v>27</x:v>
      </x:c>
      <x:c r="I83" s="8" t="s">
        <x:v>45</x:v>
      </x:c>
      <x:c r="J83" s="8" t="s">
        <x:v>100</x:v>
      </x:c>
      <x:c r="K83" s="9" t="s">
        <x:v>283</x:v>
      </x:c>
      <x:c r="L83" s="8" t="str">
        <x:v>FALSE</x:v>
      </x:c>
      <x:c r="M83" s="8" t="str">
        <x:v>GPT-5.6</x:v>
      </x:c>
      <x:c r="N83" s="10" t="n">
        <x:f aca="0">IF(E83=H83,1,0)</x:f>
        <x:v>0</x:v>
      </x:c>
      <x:c r="O83" s="10" t="n">
        <x:f aca="0">IF(F83=I83,1,0)</x:f>
        <x:v>0</x:v>
      </x:c>
    </x:row>
    <x:row r="84" ht="23.850000381469727" hidden="0">
      <x:c r="A84" s="6" t="n">
        <x:v>83</x:v>
      </x:c>
      <x:c r="B84" s="6" t="n">
        <x:v>206767</x:v>
      </x:c>
      <x:c r="C84" s="6" t="s">
        <x:v>284</x:v>
      </x:c>
      <x:c r="D84" s="7" t="s">
        <x:v>285</x:v>
      </x:c>
      <x:c r="E84" s="6" t="s">
        <x:v>22</x:v>
      </x:c>
      <x:c r="F84" s="6" t="s">
        <x:v>58</x:v>
      </x:c>
      <x:c r="G84" s="7" t="s">
        <x:v>195</x:v>
      </x:c>
      <x:c r="H84" s="8" t="s">
        <x:v>22</x:v>
      </x:c>
      <x:c r="I84" s="8" t="s">
        <x:v>58</x:v>
      </x:c>
      <x:c r="J84" s="8" t="s">
        <x:v>51</x:v>
      </x:c>
      <x:c r="K84" s="9" t="s">
        <x:v>286</x:v>
      </x:c>
      <x:c r="L84" s="8" t="str">
        <x:v>FALSE</x:v>
      </x:c>
      <x:c r="M84" s="8" t="str">
        <x:v>claude_draft</x:v>
      </x:c>
      <x:c r="N84" s="10" t="n">
        <x:f aca="0">IF(E84=H84,1,0)</x:f>
        <x:v>1</x:v>
      </x:c>
      <x:c r="O84" s="10" t="n">
        <x:f aca="0">IF(F84=I84,1,0)</x:f>
        <x:v>1</x:v>
      </x:c>
    </x:row>
    <x:row r="85" ht="35.04999923706055" hidden="0">
      <x:c r="A85" s="6" t="n">
        <x:v>84</x:v>
      </x:c>
      <x:c r="B85" s="6" t="n">
        <x:v>570785</x:v>
      </x:c>
      <x:c r="C85" s="6" t="s">
        <x:v>287</x:v>
      </x:c>
      <x:c r="D85" s="7" t="s">
        <x:v>288</x:v>
      </x:c>
      <x:c r="E85" s="6" t="s">
        <x:v>22</x:v>
      </x:c>
      <x:c r="F85" s="6" t="s">
        <x:v>58</x:v>
      </x:c>
      <x:c r="G85" s="7" t="s">
        <x:v>195</x:v>
      </x:c>
      <x:c r="H85" s="8" t="s">
        <x:v>22</x:v>
      </x:c>
      <x:c r="I85" s="8" t="s">
        <x:v>58</x:v>
      </x:c>
      <x:c r="J85" s="8" t="s">
        <x:v>51</x:v>
      </x:c>
      <x:c r="K85" s="9" t="s">
        <x:v>289</x:v>
      </x:c>
      <x:c r="L85" s="8" t="str">
        <x:v>FALSE</x:v>
      </x:c>
      <x:c r="M85" s="8" t="str">
        <x:v>claude_draft</x:v>
      </x:c>
      <x:c r="N85" s="10" t="n">
        <x:f aca="0">IF(E85=H85,1,0)</x:f>
        <x:v>1</x:v>
      </x:c>
      <x:c r="O85" s="10" t="n">
        <x:f aca="0">IF(F85=I85,1,0)</x:f>
        <x:v>1</x:v>
      </x:c>
    </x:row>
    <x:row r="86" ht="35.04999923706055" hidden="0">
      <x:c r="A86" s="6" t="n">
        <x:v>85</x:v>
      </x:c>
      <x:c r="B86" s="6" t="n">
        <x:v>757671</x:v>
      </x:c>
      <x:c r="C86" s="6" t="s">
        <x:v>290</x:v>
      </x:c>
      <x:c r="D86" s="7" t="s">
        <x:v>291</x:v>
      </x:c>
      <x:c r="E86" s="6" t="s">
        <x:v>22</x:v>
      </x:c>
      <x:c r="F86" s="6" t="s">
        <x:v>58</x:v>
      </x:c>
      <x:c r="G86" s="7" t="s">
        <x:v>195</x:v>
      </x:c>
      <x:c r="H86" s="8" t="s">
        <x:v>23</x:v>
      </x:c>
      <x:c r="I86" s="8" t="s">
        <x:v>58</x:v>
      </x:c>
      <x:c r="J86" s="8" t="s">
        <x:v>47</x:v>
      </x:c>
      <x:c r="K86" s="9" t="s">
        <x:v>292</x:v>
      </x:c>
      <x:c r="L86" s="8" t="str">
        <x:v>FALSE</x:v>
      </x:c>
      <x:c r="M86" s="8" t="str">
        <x:v>GPT-5.6</x:v>
      </x:c>
      <x:c r="N86" s="10" t="n">
        <x:f aca="0">IF(E86=H86,1,0)</x:f>
        <x:v>0</x:v>
      </x:c>
      <x:c r="O86" s="10" t="n">
        <x:f aca="0">IF(F86=I86,1,0)</x:f>
        <x:v>1</x:v>
      </x:c>
    </x:row>
    <x:row r="87" ht="23.850000381469727" hidden="0">
      <x:c r="A87" s="6" t="n">
        <x:v>86</x:v>
      </x:c>
      <x:c r="B87" s="6" t="n">
        <x:v>701384</x:v>
      </x:c>
      <x:c r="C87" s="6" t="s">
        <x:v>293</x:v>
      </x:c>
      <x:c r="D87" s="7" t="s">
        <x:v>294</x:v>
      </x:c>
      <x:c r="E87" s="6" t="s">
        <x:v>23</x:v>
      </x:c>
      <x:c r="F87" s="6" t="s">
        <x:v>45</x:v>
      </x:c>
      <x:c r="G87" s="7" t="s">
        <x:v>295</x:v>
      </x:c>
      <x:c r="H87" s="8" t="s">
        <x:v>23</x:v>
      </x:c>
      <x:c r="I87" s="8" t="s">
        <x:v>58</x:v>
      </x:c>
      <x:c r="J87" s="8" t="s">
        <x:v>51</x:v>
      </x:c>
      <x:c r="K87" s="9" t="s">
        <x:v>296</x:v>
      </x:c>
      <x:c r="L87" s="8" t="str">
        <x:v>FALSE</x:v>
      </x:c>
      <x:c r="M87" s="8" t="str">
        <x:v>claude_draft</x:v>
      </x:c>
      <x:c r="N87" s="10" t="n">
        <x:f aca="0">IF(E87=H87,1,0)</x:f>
        <x:v>1</x:v>
      </x:c>
      <x:c r="O87" s="10" t="n">
        <x:f aca="0">IF(F87=I87,1,0)</x:f>
        <x:v>0</x:v>
      </x:c>
    </x:row>
    <x:row r="88" ht="23.850000381469727" hidden="0">
      <x:c r="A88" s="6" t="n">
        <x:v>87</x:v>
      </x:c>
      <x:c r="B88" s="6" t="n">
        <x:v>650054</x:v>
      </x:c>
      <x:c r="C88" s="6" t="s">
        <x:v>297</x:v>
      </x:c>
      <x:c r="D88" s="7" t="s">
        <x:v>298</x:v>
      </x:c>
      <x:c r="E88" s="6" t="s">
        <x:v>23</x:v>
      </x:c>
      <x:c r="F88" s="6" t="s">
        <x:v>45</x:v>
      </x:c>
      <x:c r="G88" s="7" t="s">
        <x:v>295</x:v>
      </x:c>
      <x:c r="H88" s="8" t="str">
        <x:v>account_prime</x:v>
      </x:c>
      <x:c r="I88" s="8" t="str">
        <x:v>escalate</x:v>
      </x:c>
      <x:c r="J88" s="8" t="str">
        <x:v>HIGH</x:v>
      </x:c>
      <x:c r="K88" s="9" t="str">
        <x:v>Prime cancellation plus refund of a charge; Prime money issue</x:v>
      </x:c>
      <x:c r="L88" s="8" t="str">
        <x:v>FALSE</x:v>
      </x:c>
      <x:c r="M88" s="8" t="str">
        <x:v>GPT-5.6</x:v>
      </x:c>
      <x:c r="N88" s="10" t="n">
        <x:f aca="0">IF(E88=H88,1,0)</x:f>
        <x:v>0</x:v>
      </x:c>
      <x:c r="O88" s="10" t="n">
        <x:f aca="0">IF(F88=I88,1,0)</x:f>
        <x:v>0</x:v>
      </x:c>
    </x:row>
    <x:row r="89" ht="35.04999923706055" hidden="0">
      <x:c r="A89" s="6" t="n">
        <x:v>88</x:v>
      </x:c>
      <x:c r="B89" s="6" t="n">
        <x:v>419643</x:v>
      </x:c>
      <x:c r="C89" s="6" t="s">
        <x:v>299</x:v>
      </x:c>
      <x:c r="D89" s="7" t="s">
        <x:v>300</x:v>
      </x:c>
      <x:c r="E89" s="6" t="s">
        <x:v>23</x:v>
      </x:c>
      <x:c r="F89" s="6" t="s">
        <x:v>45</x:v>
      </x:c>
      <x:c r="G89" s="7" t="s">
        <x:v>295</x:v>
      </x:c>
      <x:c r="H89" s="8" t="s">
        <x:v>24</x:v>
      </x:c>
      <x:c r="I89" s="8" t="s">
        <x:v>58</x:v>
      </x:c>
      <x:c r="J89" s="8" t="s">
        <x:v>51</x:v>
      </x:c>
      <x:c r="K89" s="9" t="s">
        <x:v>301</x:v>
      </x:c>
      <x:c r="L89" s="8" t="str">
        <x:v>FALSE</x:v>
      </x:c>
      <x:c r="M89" s="8" t="str">
        <x:v>claude_draft</x:v>
      </x:c>
      <x:c r="N89" s="10" t="n">
        <x:f aca="0">IF(E89=H89,1,0)</x:f>
        <x:v>0</x:v>
      </x:c>
      <x:c r="O89" s="10" t="n">
        <x:f aca="0">IF(F89=I89,1,0)</x:f>
        <x:v>0</x:v>
      </x:c>
    </x:row>
    <x:row r="90" ht="23.850000381469727" hidden="0">
      <x:c r="A90" s="6" t="n">
        <x:v>89</x:v>
      </x:c>
      <x:c r="B90" s="6" t="n">
        <x:v>675181</x:v>
      </x:c>
      <x:c r="C90" s="6" t="s">
        <x:v>302</x:v>
      </x:c>
      <x:c r="D90" s="7" t="s">
        <x:v>303</x:v>
      </x:c>
      <x:c r="E90" s="6" t="s">
        <x:v>23</x:v>
      </x:c>
      <x:c r="F90" s="6" t="s">
        <x:v>45</x:v>
      </x:c>
      <x:c r="G90" s="7" t="s">
        <x:v>295</x:v>
      </x:c>
      <x:c r="H90" s="8" t="s">
        <x:v>23</x:v>
      </x:c>
      <x:c r="I90" s="8" t="s">
        <x:v>58</x:v>
      </x:c>
      <x:c r="J90" s="8" t="s">
        <x:v>47</x:v>
      </x:c>
      <x:c r="K90" s="9" t="s">
        <x:v>304</x:v>
      </x:c>
      <x:c r="L90" s="8" t="str">
        <x:v>FALSE</x:v>
      </x:c>
      <x:c r="M90" s="8" t="str">
        <x:v>GPT-5.6</x:v>
      </x:c>
      <x:c r="N90" s="10" t="n">
        <x:f aca="0">IF(E90=H90,1,0)</x:f>
        <x:v>1</x:v>
      </x:c>
      <x:c r="O90" s="10" t="n">
        <x:f aca="0">IF(F90=I90,1,0)</x:f>
        <x:v>0</x:v>
      </x:c>
    </x:row>
    <x:row r="91" ht="35.04999923706055" hidden="0">
      <x:c r="A91" s="6" t="n">
        <x:v>90</x:v>
      </x:c>
      <x:c r="B91" s="6" t="n">
        <x:v>325824</x:v>
      </x:c>
      <x:c r="C91" s="6" t="s">
        <x:v>305</x:v>
      </x:c>
      <x:c r="D91" s="7" t="s">
        <x:v>306</x:v>
      </x:c>
      <x:c r="E91" s="6" t="s">
        <x:v>23</x:v>
      </x:c>
      <x:c r="F91" s="6" t="s">
        <x:v>45</x:v>
      </x:c>
      <x:c r="G91" s="7" t="s">
        <x:v>295</x:v>
      </x:c>
      <x:c r="H91" s="8" t="s">
        <x:v>23</x:v>
      </x:c>
      <x:c r="I91" s="8" t="s">
        <x:v>45</x:v>
      </x:c>
      <x:c r="J91" s="8" t="s">
        <x:v>47</x:v>
      </x:c>
      <x:c r="K91" s="9" t="s">
        <x:v>307</x:v>
      </x:c>
      <x:c r="L91" s="8" t="str">
        <x:v>FALSE</x:v>
      </x:c>
      <x:c r="M91" s="8" t="str">
        <x:v>GPT-5.6</x:v>
      </x:c>
      <x:c r="N91" s="10" t="n">
        <x:f aca="0">IF(E91=H91,1,0)</x:f>
        <x:v>1</x:v>
      </x:c>
      <x:c r="O91" s="10" t="n">
        <x:f aca="0">IF(F91=I91,1,0)</x:f>
        <x:v>1</x:v>
      </x:c>
    </x:row>
    <x:row r="92" ht="23.850000381469727" hidden="0">
      <x:c r="A92" s="6" t="n">
        <x:v>91</x:v>
      </x:c>
      <x:c r="B92" s="6" t="n">
        <x:v>796506</x:v>
      </x:c>
      <x:c r="C92" s="6" t="s">
        <x:v>308</x:v>
      </x:c>
      <x:c r="D92" s="7" t="s">
        <x:v>309</x:v>
      </x:c>
      <x:c r="E92" s="6" t="s">
        <x:v>23</x:v>
      </x:c>
      <x:c r="F92" s="6" t="s">
        <x:v>45</x:v>
      </x:c>
      <x:c r="G92" s="7" t="s">
        <x:v>295</x:v>
      </x:c>
      <x:c r="H92" s="8" t="s">
        <x:v>24</x:v>
      </x:c>
      <x:c r="I92" s="8" t="s">
        <x:v>45</x:v>
      </x:c>
      <x:c r="J92" s="8" t="s">
        <x:v>47</x:v>
      </x:c>
      <x:c r="K92" s="9" t="s">
        <x:v>310</x:v>
      </x:c>
      <x:c r="L92" s="8" t="str">
        <x:v>FALSE</x:v>
      </x:c>
      <x:c r="M92" s="8" t="str">
        <x:v>GPT-5.6</x:v>
      </x:c>
      <x:c r="N92" s="10" t="n">
        <x:f aca="0">IF(E92=H92,1,0)</x:f>
        <x:v>0</x:v>
      </x:c>
      <x:c r="O92" s="10" t="n">
        <x:f aca="0">IF(F92=I92,1,0)</x:f>
        <x:v>1</x:v>
      </x:c>
    </x:row>
    <x:row r="93" ht="35.04999923706055" hidden="0">
      <x:c r="A93" s="6" t="n">
        <x:v>92</x:v>
      </x:c>
      <x:c r="B93" s="6" t="n">
        <x:v>727804</x:v>
      </x:c>
      <x:c r="C93" s="6" t="s">
        <x:v>311</x:v>
      </x:c>
      <x:c r="D93" s="7" t="s">
        <x:v>312</x:v>
      </x:c>
      <x:c r="E93" s="6" t="s">
        <x:v>23</x:v>
      </x:c>
      <x:c r="F93" s="6" t="s">
        <x:v>45</x:v>
      </x:c>
      <x:c r="G93" s="7" t="s">
        <x:v>295</x:v>
      </x:c>
      <x:c r="H93" s="8" t="s">
        <x:v>23</x:v>
      </x:c>
      <x:c r="I93" s="8" t="s">
        <x:v>58</x:v>
      </x:c>
      <x:c r="J93" s="8" t="s">
        <x:v>51</x:v>
      </x:c>
      <x:c r="K93" s="9" t="s">
        <x:v>313</x:v>
      </x:c>
      <x:c r="L93" s="8" t="str">
        <x:v>FALSE</x:v>
      </x:c>
      <x:c r="M93" s="8" t="str">
        <x:v>claude_draft</x:v>
      </x:c>
      <x:c r="N93" s="10" t="n">
        <x:f aca="0">IF(E93=H93,1,0)</x:f>
        <x:v>1</x:v>
      </x:c>
      <x:c r="O93" s="10" t="n">
        <x:f aca="0">IF(F93=I93,1,0)</x:f>
        <x:v>0</x:v>
      </x:c>
    </x:row>
    <x:row r="94" ht="23.850000381469727" hidden="0">
      <x:c r="A94" s="6" t="n">
        <x:v>93</x:v>
      </x:c>
      <x:c r="B94" s="6" t="n">
        <x:v>277207</x:v>
      </x:c>
      <x:c r="C94" s="6" t="s">
        <x:v>314</x:v>
      </x:c>
      <x:c r="D94" s="7" t="s">
        <x:v>315</x:v>
      </x:c>
      <x:c r="E94" s="6" t="s">
        <x:v>23</x:v>
      </x:c>
      <x:c r="F94" s="6" t="s">
        <x:v>45</x:v>
      </x:c>
      <x:c r="G94" s="7" t="s">
        <x:v>295</x:v>
      </x:c>
      <x:c r="H94" s="8" t="s">
        <x:v>23</x:v>
      </x:c>
      <x:c r="I94" s="8" t="s">
        <x:v>58</x:v>
      </x:c>
      <x:c r="J94" s="8" t="s">
        <x:v>51</x:v>
      </x:c>
      <x:c r="K94" s="9" t="s">
        <x:v>316</x:v>
      </x:c>
      <x:c r="L94" s="8" t="str">
        <x:v>FALSE</x:v>
      </x:c>
      <x:c r="M94" s="8" t="str">
        <x:v>claude_draft</x:v>
      </x:c>
      <x:c r="N94" s="10" t="n">
        <x:f aca="0">IF(E94=H94,1,0)</x:f>
        <x:v>1</x:v>
      </x:c>
      <x:c r="O94" s="10" t="n">
        <x:f aca="0">IF(F94=I94,1,0)</x:f>
        <x:v>0</x:v>
      </x:c>
    </x:row>
    <x:row r="95" ht="35.04999923706055" hidden="0">
      <x:c r="A95" s="6" t="n">
        <x:v>94</x:v>
      </x:c>
      <x:c r="B95" s="6" t="n">
        <x:v>277870</x:v>
      </x:c>
      <x:c r="C95" s="6" t="s">
        <x:v>317</x:v>
      </x:c>
      <x:c r="D95" s="7" t="s">
        <x:v>318</x:v>
      </x:c>
      <x:c r="E95" s="6" t="s">
        <x:v>23</x:v>
      </x:c>
      <x:c r="F95" s="6" t="s">
        <x:v>45</x:v>
      </x:c>
      <x:c r="G95" s="7" t="s">
        <x:v>295</x:v>
      </x:c>
      <x:c r="H95" s="8" t="s">
        <x:v>23</x:v>
      </x:c>
      <x:c r="I95" s="8" t="s">
        <x:v>58</x:v>
      </x:c>
      <x:c r="J95" s="8" t="s">
        <x:v>51</x:v>
      </x:c>
      <x:c r="K95" s="9" t="s">
        <x:v>319</x:v>
      </x:c>
      <x:c r="L95" s="8" t="str">
        <x:v>FALSE</x:v>
      </x:c>
      <x:c r="M95" s="8" t="str">
        <x:v>claude_draft</x:v>
      </x:c>
      <x:c r="N95" s="10" t="n">
        <x:f aca="0">IF(E95=H95,1,0)</x:f>
        <x:v>1</x:v>
      </x:c>
      <x:c r="O95" s="10" t="n">
        <x:f aca="0">IF(F95=I95,1,0)</x:f>
        <x:v>0</x:v>
      </x:c>
    </x:row>
    <x:row r="96" ht="35.04999923706055" hidden="0">
      <x:c r="A96" s="6" t="n">
        <x:v>95</x:v>
      </x:c>
      <x:c r="B96" s="6" t="n">
        <x:v>485376</x:v>
      </x:c>
      <x:c r="C96" s="6" t="s">
        <x:v>320</x:v>
      </x:c>
      <x:c r="D96" s="7" t="s">
        <x:v>321</x:v>
      </x:c>
      <x:c r="E96" s="6" t="s">
        <x:v>23</x:v>
      </x:c>
      <x:c r="F96" s="6" t="s">
        <x:v>45</x:v>
      </x:c>
      <x:c r="G96" s="7" t="s">
        <x:v>295</x:v>
      </x:c>
      <x:c r="H96" s="8" t="s">
        <x:v>23</x:v>
      </x:c>
      <x:c r="I96" s="8" t="s">
        <x:v>45</x:v>
      </x:c>
      <x:c r="J96" s="8" t="s">
        <x:v>47</x:v>
      </x:c>
      <x:c r="K96" s="9" t="s">
        <x:v>322</x:v>
      </x:c>
      <x:c r="L96" s="8" t="str">
        <x:v>FALSE</x:v>
      </x:c>
      <x:c r="M96" s="8" t="str">
        <x:v>GPT-5.6</x:v>
      </x:c>
      <x:c r="N96" s="10" t="n">
        <x:f aca="0">IF(E96=H96,1,0)</x:f>
        <x:v>1</x:v>
      </x:c>
      <x:c r="O96" s="10" t="n">
        <x:f aca="0">IF(F96=I96,1,0)</x:f>
        <x:v>1</x:v>
      </x:c>
    </x:row>
    <x:row r="97" ht="35.04999923706055" hidden="0">
      <x:c r="A97" s="6" t="n">
        <x:v>96</x:v>
      </x:c>
      <x:c r="B97" s="6" t="n">
        <x:v>206975</x:v>
      </x:c>
      <x:c r="C97" s="6" t="s">
        <x:v>323</x:v>
      </x:c>
      <x:c r="D97" s="7" t="s">
        <x:v>324</x:v>
      </x:c>
      <x:c r="E97" s="6" t="s">
        <x:v>23</x:v>
      </x:c>
      <x:c r="F97" s="6" t="s">
        <x:v>45</x:v>
      </x:c>
      <x:c r="G97" s="7" t="s">
        <x:v>295</x:v>
      </x:c>
      <x:c r="H97" s="8" t="str">
        <x:v>account_prime</x:v>
      </x:c>
      <x:c r="I97" s="8" t="str">
        <x:v>escalate</x:v>
      </x:c>
      <x:c r="J97" s="8" t="str">
        <x:v>HIGH</x:v>
      </x:c>
      <x:c r="K97" s="9" t="str">
        <x:v>Prime membership compensation/refund request; money-related Prime issue</x:v>
      </x:c>
      <x:c r="L97" s="8" t="str">
        <x:v>FALSE</x:v>
      </x:c>
      <x:c r="M97" s="8" t="str">
        <x:v>GPT-5.6</x:v>
      </x:c>
      <x:c r="N97" s="10" t="n">
        <x:f aca="0">IF(E97=H97,1,0)</x:f>
        <x:v>0</x:v>
      </x:c>
      <x:c r="O97" s="10" t="n">
        <x:f aca="0">IF(F97=I97,1,0)</x:f>
        <x:v>0</x:v>
      </x:c>
    </x:row>
    <x:row r="98" ht="23.850000381469727" hidden="0">
      <x:c r="A98" s="6" t="n">
        <x:v>97</x:v>
      </x:c>
      <x:c r="B98" s="6" t="n">
        <x:v>166542</x:v>
      </x:c>
      <x:c r="C98" s="6" t="s">
        <x:v>325</x:v>
      </x:c>
      <x:c r="D98" s="7" t="s">
        <x:v>326</x:v>
      </x:c>
      <x:c r="E98" s="6" t="s">
        <x:v>23</x:v>
      </x:c>
      <x:c r="F98" s="6" t="s">
        <x:v>45</x:v>
      </x:c>
      <x:c r="G98" s="7" t="s">
        <x:v>295</x:v>
      </x:c>
      <x:c r="H98" s="8" t="s">
        <x:v>23</x:v>
      </x:c>
      <x:c r="I98" s="8" t="s">
        <x:v>58</x:v>
      </x:c>
      <x:c r="J98" s="8" t="s">
        <x:v>51</x:v>
      </x:c>
      <x:c r="K98" s="9" t="s">
        <x:v>327</x:v>
      </x:c>
      <x:c r="L98" s="8" t="str">
        <x:v>FALSE</x:v>
      </x:c>
      <x:c r="M98" s="8" t="str">
        <x:v>claude_draft</x:v>
      </x:c>
      <x:c r="N98" s="10" t="n">
        <x:f aca="0">IF(E98=H98,1,0)</x:f>
        <x:v>1</x:v>
      </x:c>
      <x:c r="O98" s="10" t="n">
        <x:f aca="0">IF(F98=I98,1,0)</x:f>
        <x:v>0</x:v>
      </x:c>
    </x:row>
    <x:row r="99" ht="23.850000381469727" hidden="0">
      <x:c r="A99" s="6" t="n">
        <x:v>98</x:v>
      </x:c>
      <x:c r="B99" s="6" t="n">
        <x:v>234559</x:v>
      </x:c>
      <x:c r="C99" s="6" t="s">
        <x:v>328</x:v>
      </x:c>
      <x:c r="D99" s="7" t="s">
        <x:v>329</x:v>
      </x:c>
      <x:c r="E99" s="6" t="s">
        <x:v>23</x:v>
      </x:c>
      <x:c r="F99" s="6" t="s">
        <x:v>45</x:v>
      </x:c>
      <x:c r="G99" s="7" t="s">
        <x:v>295</x:v>
      </x:c>
      <x:c r="H99" s="8" t="str">
        <x:v>return_refund</x:v>
      </x:c>
      <x:c r="I99" s="8" t="str">
        <x:v>escalate</x:v>
      </x:c>
      <x:c r="J99" s="8" t="str">
        <x:v>HIGH</x:v>
      </x:c>
      <x:c r="K99" s="9" t="str">
        <x:v>Refund requested for failed paid delivery promise; money/compensation issue</x:v>
      </x:c>
      <x:c r="L99" s="8" t="str">
        <x:v>FALSE</x:v>
      </x:c>
      <x:c r="M99" s="8" t="str">
        <x:v>GPT-5.6</x:v>
      </x:c>
      <x:c r="N99" s="10" t="n">
        <x:f aca="0">IF(E99=H99,1,0)</x:f>
        <x:v>1</x:v>
      </x:c>
      <x:c r="O99" s="10" t="n">
        <x:f aca="0">IF(F99=I99,1,0)</x:f>
        <x:v>0</x:v>
      </x:c>
    </x:row>
    <x:row r="100" ht="35.04999923706055" hidden="0">
      <x:c r="A100" s="6" t="n">
        <x:v>99</x:v>
      </x:c>
      <x:c r="B100" s="6" t="n">
        <x:v>612756</x:v>
      </x:c>
      <x:c r="C100" s="6" t="s">
        <x:v>330</x:v>
      </x:c>
      <x:c r="D100" s="7" t="s">
        <x:v>331</x:v>
      </x:c>
      <x:c r="E100" s="6" t="s">
        <x:v>23</x:v>
      </x:c>
      <x:c r="F100" s="6" t="s">
        <x:v>45</x:v>
      </x:c>
      <x:c r="G100" s="7" t="s">
        <x:v>295</x:v>
      </x:c>
      <x:c r="H100" s="8" t="s">
        <x:v>23</x:v>
      </x:c>
      <x:c r="I100" s="8" t="s">
        <x:v>58</x:v>
      </x:c>
      <x:c r="J100" s="8" t="s">
        <x:v>51</x:v>
      </x:c>
      <x:c r="K100" s="9" t="s">
        <x:v>332</x:v>
      </x:c>
      <x:c r="L100" s="8" t="str">
        <x:v>FALSE</x:v>
      </x:c>
      <x:c r="M100" s="8" t="str">
        <x:v>claude_draft</x:v>
      </x:c>
      <x:c r="N100" s="10" t="n">
        <x:f aca="0">IF(E100=H100,1,0)</x:f>
        <x:v>1</x:v>
      </x:c>
      <x:c r="O100" s="10" t="n">
        <x:f aca="0">IF(F100=I100,1,0)</x:f>
        <x:v>0</x:v>
      </x:c>
    </x:row>
    <x:row r="101" ht="46.25" hidden="0">
      <x:c r="A101" s="6" t="n">
        <x:v>100</x:v>
      </x:c>
      <x:c r="B101" s="6" t="n">
        <x:v>461225</x:v>
      </x:c>
      <x:c r="C101" s="6" t="s">
        <x:v>333</x:v>
      </x:c>
      <x:c r="D101" s="7" t="s">
        <x:v>334</x:v>
      </x:c>
      <x:c r="E101" s="6" t="s">
        <x:v>23</x:v>
      </x:c>
      <x:c r="F101" s="6" t="s">
        <x:v>45</x:v>
      </x:c>
      <x:c r="G101" s="7" t="s">
        <x:v>295</x:v>
      </x:c>
      <x:c r="H101" s="8" t="str">
        <x:v>return_refund</x:v>
      </x:c>
      <x:c r="I101" s="8" t="str">
        <x:v>escalate</x:v>
      </x:c>
      <x:c r="J101" s="8" t="str">
        <x:v>HIGH</x:v>
      </x:c>
      <x:c r="K101" s="9" t="str">
        <x:v>Refund was promised but has not appeared; refund-status chase</x:v>
      </x:c>
      <x:c r="L101" s="8" t="str">
        <x:v>FALSE</x:v>
      </x:c>
      <x:c r="M101" s="8" t="str">
        <x:v>GPT-5.6</x:v>
      </x:c>
      <x:c r="N101" s="10" t="n">
        <x:f aca="0">IF(E101=H101,1,0)</x:f>
        <x:v>1</x:v>
      </x:c>
      <x:c r="O101" s="10" t="n">
        <x:f aca="0">IF(F101=I101,1,0)</x:f>
        <x:v>0</x:v>
      </x:c>
    </x:row>
    <x:row r="102" ht="23.850000381469727" hidden="0">
      <x:c r="A102" s="6" t="n">
        <x:v>101</x:v>
      </x:c>
      <x:c r="B102" s="6" t="n">
        <x:v>78825</x:v>
      </x:c>
      <x:c r="C102" s="6" t="s">
        <x:v>335</x:v>
      </x:c>
      <x:c r="D102" s="7" t="s">
        <x:v>336</x:v>
      </x:c>
      <x:c r="E102" s="6" t="s">
        <x:v>23</x:v>
      </x:c>
      <x:c r="F102" s="6" t="s">
        <x:v>45</x:v>
      </x:c>
      <x:c r="G102" s="7" t="s">
        <x:v>295</x:v>
      </x:c>
      <x:c r="H102" s="8" t="s">
        <x:v>23</x:v>
      </x:c>
      <x:c r="I102" s="8" t="s">
        <x:v>45</x:v>
      </x:c>
      <x:c r="J102" s="8" t="s">
        <x:v>51</x:v>
      </x:c>
      <x:c r="K102" s="9" t="s">
        <x:v>337</x:v>
      </x:c>
      <x:c r="L102" s="8" t="str">
        <x:v>FALSE</x:v>
      </x:c>
      <x:c r="M102" s="8" t="str">
        <x:v>claude_draft</x:v>
      </x:c>
      <x:c r="N102" s="10" t="n">
        <x:f aca="0">IF(E102=H102,1,0)</x:f>
        <x:v>1</x:v>
      </x:c>
      <x:c r="O102" s="10" t="n">
        <x:f aca="0">IF(F102=I102,1,0)</x:f>
        <x:v>1</x:v>
      </x:c>
    </x:row>
    <x:row r="103" ht="46.25" hidden="0">
      <x:c r="A103" s="6" t="n">
        <x:v>102</x:v>
      </x:c>
      <x:c r="B103" s="6" t="n">
        <x:v>424997</x:v>
      </x:c>
      <x:c r="C103" s="6" t="s">
        <x:v>338</x:v>
      </x:c>
      <x:c r="D103" s="7" t="s">
        <x:v>339</x:v>
      </x:c>
      <x:c r="E103" s="6" t="s">
        <x:v>23</x:v>
      </x:c>
      <x:c r="F103" s="6" t="s">
        <x:v>45</x:v>
      </x:c>
      <x:c r="G103" s="7" t="s">
        <x:v>295</x:v>
      </x:c>
      <x:c r="H103" s="8" t="str">
        <x:v>return_refund</x:v>
      </x:c>
      <x:c r="I103" s="8" t="str">
        <x:v>escalate</x:v>
      </x:c>
      <x:c r="J103" s="8" t="str">
        <x:v>HIGH</x:v>
      </x:c>
      <x:c r="K103" s="9" t="str">
        <x:v>Order was cancelled after charge and refund was not received; billing/refund issue</x:v>
      </x:c>
      <x:c r="L103" s="8" t="str">
        <x:v>FALSE</x:v>
      </x:c>
      <x:c r="M103" s="8" t="str">
        <x:v>GPT-5.6</x:v>
      </x:c>
      <x:c r="N103" s="10" t="n">
        <x:f aca="0">IF(E103=H103,1,0)</x:f>
        <x:v>1</x:v>
      </x:c>
      <x:c r="O103" s="10" t="n">
        <x:f aca="0">IF(F103=I103,1,0)</x:f>
        <x:v>0</x:v>
      </x:c>
    </x:row>
    <x:row r="104" ht="23.850000381469727" hidden="0">
      <x:c r="A104" s="6" t="n">
        <x:v>103</x:v>
      </x:c>
      <x:c r="B104" s="6" t="n">
        <x:v>394469</x:v>
      </x:c>
      <x:c r="C104" s="6" t="s">
        <x:v>340</x:v>
      </x:c>
      <x:c r="D104" s="7" t="s">
        <x:v>341</x:v>
      </x:c>
      <x:c r="E104" s="6" t="s">
        <x:v>23</x:v>
      </x:c>
      <x:c r="F104" s="6" t="s">
        <x:v>45</x:v>
      </x:c>
      <x:c r="G104" s="7" t="s">
        <x:v>295</x:v>
      </x:c>
      <x:c r="H104" s="8" t="s">
        <x:v>27</x:v>
      </x:c>
      <x:c r="I104" s="8" t="s">
        <x:v>45</x:v>
      </x:c>
      <x:c r="J104" s="8" t="s">
        <x:v>51</x:v>
      </x:c>
      <x:c r="K104" s="9" t="s">
        <x:v>342</x:v>
      </x:c>
      <x:c r="L104" s="8" t="str">
        <x:v>FALSE</x:v>
      </x:c>
      <x:c r="M104" s="8" t="str">
        <x:v>claude_draft</x:v>
      </x:c>
      <x:c r="N104" s="10" t="n">
        <x:f aca="0">IF(E104=H104,1,0)</x:f>
        <x:v>0</x:v>
      </x:c>
      <x:c r="O104" s="10" t="n">
        <x:f aca="0">IF(F104=I104,1,0)</x:f>
        <x:v>1</x:v>
      </x:c>
    </x:row>
    <x:row r="105" ht="23.850000381469727" hidden="0">
      <x:c r="A105" s="6" t="n">
        <x:v>104</x:v>
      </x:c>
      <x:c r="B105" s="6" t="n">
        <x:v>170990</x:v>
      </x:c>
      <x:c r="C105" s="6" t="s">
        <x:v>343</x:v>
      </x:c>
      <x:c r="D105" s="7" t="s">
        <x:v>344</x:v>
      </x:c>
      <x:c r="E105" s="6" t="s">
        <x:v>23</x:v>
      </x:c>
      <x:c r="F105" s="6" t="s">
        <x:v>45</x:v>
      </x:c>
      <x:c r="G105" s="7" t="s">
        <x:v>295</x:v>
      </x:c>
      <x:c r="H105" s="8" t="s">
        <x:v>23</x:v>
      </x:c>
      <x:c r="I105" s="8" t="s">
        <x:v>45</x:v>
      </x:c>
      <x:c r="J105" s="8" t="s">
        <x:v>51</x:v>
      </x:c>
      <x:c r="K105" s="9" t="s">
        <x:v>345</x:v>
      </x:c>
      <x:c r="L105" s="8" t="str">
        <x:v>FALSE</x:v>
      </x:c>
      <x:c r="M105" s="8" t="str">
        <x:v>claude_draft</x:v>
      </x:c>
      <x:c r="N105" s="10" t="n">
        <x:f aca="0">IF(E105=H105,1,0)</x:f>
        <x:v>1</x:v>
      </x:c>
      <x:c r="O105" s="10" t="n">
        <x:f aca="0">IF(F105=I105,1,0)</x:f>
        <x:v>1</x:v>
      </x:c>
    </x:row>
    <x:row r="106" ht="23.850000381469727" hidden="0">
      <x:c r="A106" s="6" t="n">
        <x:v>105</x:v>
      </x:c>
      <x:c r="B106" s="6" t="n">
        <x:v>462521</x:v>
      </x:c>
      <x:c r="C106" s="6" t="s">
        <x:v>346</x:v>
      </x:c>
      <x:c r="D106" s="7" t="s">
        <x:v>347</x:v>
      </x:c>
      <x:c r="E106" s="6" t="s">
        <x:v>23</x:v>
      </x:c>
      <x:c r="F106" s="6" t="s">
        <x:v>45</x:v>
      </x:c>
      <x:c r="G106" s="7" t="s">
        <x:v>295</x:v>
      </x:c>
      <x:c r="H106" s="8" t="s">
        <x:v>24</x:v>
      </x:c>
      <x:c r="I106" s="8" t="s">
        <x:v>58</x:v>
      </x:c>
      <x:c r="J106" s="8" t="s">
        <x:v>47</x:v>
      </x:c>
      <x:c r="K106" s="9" t="s">
        <x:v>348</x:v>
      </x:c>
      <x:c r="L106" s="8" t="str">
        <x:v>FALSE</x:v>
      </x:c>
      <x:c r="M106" s="8" t="str">
        <x:v>GPT-5.6</x:v>
      </x:c>
      <x:c r="N106" s="10" t="n">
        <x:f aca="0">IF(E106=H106,1,0)</x:f>
        <x:v>0</x:v>
      </x:c>
      <x:c r="O106" s="10" t="n">
        <x:f aca="0">IF(F106=I106,1,0)</x:f>
        <x:v>0</x:v>
      </x:c>
    </x:row>
    <x:row r="107" ht="23.850000381469727" hidden="0">
      <x:c r="A107" s="6" t="n">
        <x:v>106</x:v>
      </x:c>
      <x:c r="B107" s="6" t="n">
        <x:v>434426</x:v>
      </x:c>
      <x:c r="C107" s="6" t="s">
        <x:v>349</x:v>
      </x:c>
      <x:c r="D107" s="7" t="s">
        <x:v>350</x:v>
      </x:c>
      <x:c r="E107" s="6" t="s">
        <x:v>23</x:v>
      </x:c>
      <x:c r="F107" s="6" t="s">
        <x:v>45</x:v>
      </x:c>
      <x:c r="G107" s="7" t="s">
        <x:v>295</x:v>
      </x:c>
      <x:c r="H107" s="8" t="str">
        <x:v>account_prime</x:v>
      </x:c>
      <x:c r="I107" s="8" t="str">
        <x:v>escalate</x:v>
      </x:c>
      <x:c r="J107" s="8" t="str">
        <x:v>HIGH</x:v>
      </x:c>
      <x:c r="K107" s="9" t="str">
        <x:v>Requests refund of Prime membership; Prime money issue</x:v>
      </x:c>
      <x:c r="L107" s="8" t="str">
        <x:v>FALSE</x:v>
      </x:c>
      <x:c r="M107" s="8" t="str">
        <x:v>GPT-5.6</x:v>
      </x:c>
      <x:c r="N107" s="10" t="n">
        <x:f aca="0">IF(E107=H107,1,0)</x:f>
        <x:v>0</x:v>
      </x:c>
      <x:c r="O107" s="10" t="n">
        <x:f aca="0">IF(F107=I107,1,0)</x:f>
        <x:v>0</x:v>
      </x:c>
    </x:row>
    <x:row r="108" ht="35.04999923706055" hidden="0">
      <x:c r="A108" s="6" t="n">
        <x:v>107</x:v>
      </x:c>
      <x:c r="B108" s="6" t="n">
        <x:v>422697</x:v>
      </x:c>
      <x:c r="C108" s="6" t="s">
        <x:v>351</x:v>
      </x:c>
      <x:c r="D108" s="7" t="s">
        <x:v>352</x:v>
      </x:c>
      <x:c r="E108" s="6" t="s">
        <x:v>23</x:v>
      </x:c>
      <x:c r="F108" s="6" t="s">
        <x:v>45</x:v>
      </x:c>
      <x:c r="G108" s="7" t="s">
        <x:v>295</x:v>
      </x:c>
      <x:c r="H108" s="8" t="s">
        <x:v>23</x:v>
      </x:c>
      <x:c r="I108" s="8" t="s">
        <x:v>45</x:v>
      </x:c>
      <x:c r="J108" s="8" t="s">
        <x:v>47</x:v>
      </x:c>
      <x:c r="K108" s="9" t="s">
        <x:v>353</x:v>
      </x:c>
      <x:c r="L108" s="8" t="str">
        <x:v>FALSE</x:v>
      </x:c>
      <x:c r="M108" s="8" t="str">
        <x:v>GPT-5.6</x:v>
      </x:c>
      <x:c r="N108" s="10" t="n">
        <x:f aca="0">IF(E108=H108,1,0)</x:f>
        <x:v>1</x:v>
      </x:c>
      <x:c r="O108" s="10" t="n">
        <x:f aca="0">IF(F108=I108,1,0)</x:f>
        <x:v>1</x:v>
      </x:c>
    </x:row>
    <x:row r="109" ht="46.25" hidden="0">
      <x:c r="A109" s="6" t="n">
        <x:v>108</x:v>
      </x:c>
      <x:c r="B109" s="6" t="n">
        <x:v>163492</x:v>
      </x:c>
      <x:c r="C109" s="6" t="s">
        <x:v>354</x:v>
      </x:c>
      <x:c r="D109" s="7" t="s">
        <x:v>355</x:v>
      </x:c>
      <x:c r="E109" s="6" t="s">
        <x:v>23</x:v>
      </x:c>
      <x:c r="F109" s="6" t="s">
        <x:v>45</x:v>
      </x:c>
      <x:c r="G109" s="7" t="s">
        <x:v>295</x:v>
      </x:c>
      <x:c r="H109" s="8" t="s">
        <x:v>23</x:v>
      </x:c>
      <x:c r="I109" s="8" t="s">
        <x:v>58</x:v>
      </x:c>
      <x:c r="J109" s="8" t="s">
        <x:v>47</x:v>
      </x:c>
      <x:c r="K109" s="9" t="s">
        <x:v>356</x:v>
      </x:c>
      <x:c r="L109" s="8" t="str">
        <x:v>FALSE</x:v>
      </x:c>
      <x:c r="M109" s="8" t="str">
        <x:v>GPT-5.6</x:v>
      </x:c>
      <x:c r="N109" s="10" t="n">
        <x:f aca="0">IF(E109=H109,1,0)</x:f>
        <x:v>1</x:v>
      </x:c>
      <x:c r="O109" s="10" t="n">
        <x:f aca="0">IF(F109=I109,1,0)</x:f>
        <x:v>0</x:v>
      </x:c>
    </x:row>
    <x:row r="110" ht="23.850000381469727" hidden="0">
      <x:c r="A110" s="6" t="n">
        <x:v>109</x:v>
      </x:c>
      <x:c r="B110" s="6" t="n">
        <x:v>77353</x:v>
      </x:c>
      <x:c r="C110" s="6" t="s">
        <x:v>357</x:v>
      </x:c>
      <x:c r="D110" s="7" t="s">
        <x:v>358</x:v>
      </x:c>
      <x:c r="E110" s="6" t="s">
        <x:v>23</x:v>
      </x:c>
      <x:c r="F110" s="6" t="s">
        <x:v>45</x:v>
      </x:c>
      <x:c r="G110" s="7" t="s">
        <x:v>295</x:v>
      </x:c>
      <x:c r="H110" s="8" t="s">
        <x:v>23</x:v>
      </x:c>
      <x:c r="I110" s="8" t="s">
        <x:v>45</x:v>
      </x:c>
      <x:c r="J110" s="8" t="s">
        <x:v>51</x:v>
      </x:c>
      <x:c r="K110" s="9" t="s">
        <x:v>359</x:v>
      </x:c>
      <x:c r="L110" s="8" t="str">
        <x:v>FALSE</x:v>
      </x:c>
      <x:c r="M110" s="8" t="str">
        <x:v>claude_draft</x:v>
      </x:c>
      <x:c r="N110" s="10" t="n">
        <x:f aca="0">IF(E110=H110,1,0)</x:f>
        <x:v>1</x:v>
      </x:c>
      <x:c r="O110" s="10" t="n">
        <x:f aca="0">IF(F110=I110,1,0)</x:f>
        <x:v>1</x:v>
      </x:c>
    </x:row>
    <x:row r="111" ht="35.04999923706055" hidden="0">
      <x:c r="A111" s="6" t="n">
        <x:v>110</x:v>
      </x:c>
      <x:c r="B111" s="6" t="n">
        <x:v>594534</x:v>
      </x:c>
      <x:c r="C111" s="6" t="s">
        <x:v>360</x:v>
      </x:c>
      <x:c r="D111" s="7" t="s">
        <x:v>361</x:v>
      </x:c>
      <x:c r="E111" s="6" t="s">
        <x:v>23</x:v>
      </x:c>
      <x:c r="F111" s="6" t="s">
        <x:v>45</x:v>
      </x:c>
      <x:c r="G111" s="7" t="s">
        <x:v>295</x:v>
      </x:c>
      <x:c r="H111" s="8" t="s">
        <x:v>22</x:v>
      </x:c>
      <x:c r="I111" s="8" t="s">
        <x:v>58</x:v>
      </x:c>
      <x:c r="J111" s="8" t="s">
        <x:v>47</x:v>
      </x:c>
      <x:c r="K111" s="9" t="s">
        <x:v>362</x:v>
      </x:c>
      <x:c r="L111" s="8" t="str">
        <x:v>FALSE</x:v>
      </x:c>
      <x:c r="M111" s="8" t="str">
        <x:v>GPT-5.6</x:v>
      </x:c>
      <x:c r="N111" s="10" t="n">
        <x:f aca="0">IF(E111=H111,1,0)</x:f>
        <x:v>0</x:v>
      </x:c>
      <x:c r="O111" s="10" t="n">
        <x:f aca="0">IF(F111=I111,1,0)</x:f>
        <x:v>0</x:v>
      </x:c>
    </x:row>
    <x:row r="112" ht="35.04999923706055" hidden="0">
      <x:c r="A112" s="6" t="n">
        <x:v>111</x:v>
      </x:c>
      <x:c r="B112" s="6" t="n">
        <x:v>382260</x:v>
      </x:c>
      <x:c r="C112" s="6" t="s">
        <x:v>363</x:v>
      </x:c>
      <x:c r="D112" s="7" t="s">
        <x:v>364</x:v>
      </x:c>
      <x:c r="E112" s="6" t="s">
        <x:v>23</x:v>
      </x:c>
      <x:c r="F112" s="6" t="s">
        <x:v>45</x:v>
      </x:c>
      <x:c r="G112" s="7" t="s">
        <x:v>295</x:v>
      </x:c>
      <x:c r="H112" s="8" t="s">
        <x:v>23</x:v>
      </x:c>
      <x:c r="I112" s="8" t="s">
        <x:v>58</x:v>
      </x:c>
      <x:c r="J112" s="8" t="s">
        <x:v>51</x:v>
      </x:c>
      <x:c r="K112" s="9" t="s">
        <x:v>365</x:v>
      </x:c>
      <x:c r="L112" s="8" t="str">
        <x:v>FALSE</x:v>
      </x:c>
      <x:c r="M112" s="8" t="str">
        <x:v>claude_draft</x:v>
      </x:c>
      <x:c r="N112" s="10" t="n">
        <x:f aca="0">IF(E112=H112,1,0)</x:f>
        <x:v>1</x:v>
      </x:c>
      <x:c r="O112" s="10" t="n">
        <x:f aca="0">IF(F112=I112,1,0)</x:f>
        <x:v>0</x:v>
      </x:c>
    </x:row>
    <x:row r="113" ht="23.850000381469727" hidden="0">
      <x:c r="A113" s="6" t="n">
        <x:v>112</x:v>
      </x:c>
      <x:c r="B113" s="6" t="n">
        <x:v>336175</x:v>
      </x:c>
      <x:c r="C113" s="6" t="s">
        <x:v>366</x:v>
      </x:c>
      <x:c r="D113" s="7" t="s">
        <x:v>367</x:v>
      </x:c>
      <x:c r="E113" s="6" t="s">
        <x:v>23</x:v>
      </x:c>
      <x:c r="F113" s="6" t="s">
        <x:v>45</x:v>
      </x:c>
      <x:c r="G113" s="7" t="s">
        <x:v>295</x:v>
      </x:c>
      <x:c r="H113" s="8" t="s">
        <x:v>27</x:v>
      </x:c>
      <x:c r="I113" s="8" t="s">
        <x:v>45</x:v>
      </x:c>
      <x:c r="J113" s="8" t="s">
        <x:v>51</x:v>
      </x:c>
      <x:c r="K113" s="9" t="s">
        <x:v>368</x:v>
      </x:c>
      <x:c r="L113" s="8" t="str">
        <x:v>FALSE</x:v>
      </x:c>
      <x:c r="M113" s="8" t="str">
        <x:v>claude_draft</x:v>
      </x:c>
      <x:c r="N113" s="10" t="n">
        <x:f aca="0">IF(E113=H113,1,0)</x:f>
        <x:v>0</x:v>
      </x:c>
      <x:c r="O113" s="10" t="n">
        <x:f aca="0">IF(F113=I113,1,0)</x:f>
        <x:v>1</x:v>
      </x:c>
    </x:row>
    <x:row r="114" ht="35.04999923706055" hidden="0">
      <x:c r="A114" s="6" t="n">
        <x:v>113</x:v>
      </x:c>
      <x:c r="B114" s="6" t="n">
        <x:v>205004</x:v>
      </x:c>
      <x:c r="C114" s="6" t="s">
        <x:v>369</x:v>
      </x:c>
      <x:c r="D114" s="7" t="s">
        <x:v>370</x:v>
      </x:c>
      <x:c r="E114" s="6" t="s">
        <x:v>23</x:v>
      </x:c>
      <x:c r="F114" s="6" t="s">
        <x:v>45</x:v>
      </x:c>
      <x:c r="G114" s="7" t="s">
        <x:v>295</x:v>
      </x:c>
      <x:c r="H114" s="8" t="s">
        <x:v>23</x:v>
      </x:c>
      <x:c r="I114" s="8" t="s">
        <x:v>58</x:v>
      </x:c>
      <x:c r="J114" s="8" t="s">
        <x:v>51</x:v>
      </x:c>
      <x:c r="K114" s="9" t="s">
        <x:v>371</x:v>
      </x:c>
      <x:c r="L114" s="8" t="str">
        <x:v>FALSE</x:v>
      </x:c>
      <x:c r="M114" s="8" t="str">
        <x:v>claude_draft</x:v>
      </x:c>
      <x:c r="N114" s="10" t="n">
        <x:f aca="0">IF(E114=H114,1,0)</x:f>
        <x:v>1</x:v>
      </x:c>
      <x:c r="O114" s="10" t="n">
        <x:f aca="0">IF(F114=I114,1,0)</x:f>
        <x:v>0</x:v>
      </x:c>
    </x:row>
    <x:row r="115" ht="35.04999923706055" hidden="0">
      <x:c r="A115" s="6" t="n">
        <x:v>114</x:v>
      </x:c>
      <x:c r="B115" s="6" t="n">
        <x:v>382764</x:v>
      </x:c>
      <x:c r="C115" s="6" t="s">
        <x:v>372</x:v>
      </x:c>
      <x:c r="D115" s="7" t="s">
        <x:v>373</x:v>
      </x:c>
      <x:c r="E115" s="6" t="s">
        <x:v>23</x:v>
      </x:c>
      <x:c r="F115" s="6" t="s">
        <x:v>45</x:v>
      </x:c>
      <x:c r="G115" s="7" t="s">
        <x:v>295</x:v>
      </x:c>
      <x:c r="H115" s="8" t="s">
        <x:v>22</x:v>
      </x:c>
      <x:c r="I115" s="8" t="s">
        <x:v>58</x:v>
      </x:c>
      <x:c r="J115" s="8" t="s">
        <x:v>47</x:v>
      </x:c>
      <x:c r="K115" s="9" t="s">
        <x:v>374</x:v>
      </x:c>
      <x:c r="L115" s="8" t="str">
        <x:v>FALSE</x:v>
      </x:c>
      <x:c r="M115" s="8" t="str">
        <x:v>GPT-5.6</x:v>
      </x:c>
      <x:c r="N115" s="10" t="n">
        <x:f aca="0">IF(E115=H115,1,0)</x:f>
        <x:v>0</x:v>
      </x:c>
      <x:c r="O115" s="10" t="n">
        <x:f aca="0">IF(F115=I115,1,0)</x:f>
        <x:v>0</x:v>
      </x:c>
    </x:row>
    <x:row r="116" ht="23.850000381469727" hidden="0">
      <x:c r="A116" s="6" t="n">
        <x:v>115</x:v>
      </x:c>
      <x:c r="B116" s="6" t="n">
        <x:v>734063</x:v>
      </x:c>
      <x:c r="C116" s="6" t="s">
        <x:v>375</x:v>
      </x:c>
      <x:c r="D116" s="7" t="s">
        <x:v>376</x:v>
      </x:c>
      <x:c r="E116" s="6" t="s">
        <x:v>23</x:v>
      </x:c>
      <x:c r="F116" s="6" t="s">
        <x:v>45</x:v>
      </x:c>
      <x:c r="G116" s="7" t="s">
        <x:v>295</x:v>
      </x:c>
      <x:c r="H116" s="8" t="s">
        <x:v>23</x:v>
      </x:c>
      <x:c r="I116" s="8" t="s">
        <x:v>58</x:v>
      </x:c>
      <x:c r="J116" s="8" t="s">
        <x:v>51</x:v>
      </x:c>
      <x:c r="K116" s="9" t="s">
        <x:v>377</x:v>
      </x:c>
      <x:c r="L116" s="8" t="str">
        <x:v>FALSE</x:v>
      </x:c>
      <x:c r="M116" s="8" t="str">
        <x:v>claude_draft</x:v>
      </x:c>
      <x:c r="N116" s="10" t="n">
        <x:f aca="0">IF(E116=H116,1,0)</x:f>
        <x:v>1</x:v>
      </x:c>
      <x:c r="O116" s="10" t="n">
        <x:f aca="0">IF(F116=I116,1,0)</x:f>
        <x:v>0</x:v>
      </x:c>
    </x:row>
    <x:row r="117" ht="35.04999923706055" hidden="0">
      <x:c r="A117" s="6" t="n">
        <x:v>116</x:v>
      </x:c>
      <x:c r="B117" s="6" t="n">
        <x:v>726778</x:v>
      </x:c>
      <x:c r="C117" s="6" t="s">
        <x:v>378</x:v>
      </x:c>
      <x:c r="D117" s="7" t="s">
        <x:v>379</x:v>
      </x:c>
      <x:c r="E117" s="6" t="s">
        <x:v>23</x:v>
      </x:c>
      <x:c r="F117" s="6" t="s">
        <x:v>45</x:v>
      </x:c>
      <x:c r="G117" s="7" t="s">
        <x:v>295</x:v>
      </x:c>
      <x:c r="H117" s="8" t="s">
        <x:v>22</x:v>
      </x:c>
      <x:c r="I117" s="8" t="s">
        <x:v>58</x:v>
      </x:c>
      <x:c r="J117" s="8" t="s">
        <x:v>47</x:v>
      </x:c>
      <x:c r="K117" s="9" t="s">
        <x:v>380</x:v>
      </x:c>
      <x:c r="L117" s="8" t="str">
        <x:v>FALSE</x:v>
      </x:c>
      <x:c r="M117" s="8" t="str">
        <x:v>GPT-5.6</x:v>
      </x:c>
      <x:c r="N117" s="10" t="n">
        <x:f aca="0">IF(E117=H117,1,0)</x:f>
        <x:v>0</x:v>
      </x:c>
      <x:c r="O117" s="10" t="n">
        <x:f aca="0">IF(F117=I117,1,0)</x:f>
        <x:v>0</x:v>
      </x:c>
    </x:row>
    <x:row r="118" ht="23.850000381469727" hidden="0">
      <x:c r="A118" s="6" t="n">
        <x:v>117</x:v>
      </x:c>
      <x:c r="B118" s="6" t="n">
        <x:v>257710</x:v>
      </x:c>
      <x:c r="C118" s="6" t="s">
        <x:v>381</x:v>
      </x:c>
      <x:c r="D118" s="7" t="s">
        <x:v>382</x:v>
      </x:c>
      <x:c r="E118" s="6" t="s">
        <x:v>23</x:v>
      </x:c>
      <x:c r="F118" s="6" t="s">
        <x:v>45</x:v>
      </x:c>
      <x:c r="G118" s="7" t="s">
        <x:v>295</x:v>
      </x:c>
      <x:c r="H118" s="8" t="s">
        <x:v>23</x:v>
      </x:c>
      <x:c r="I118" s="8" t="s">
        <x:v>45</x:v>
      </x:c>
      <x:c r="J118" s="8" t="s">
        <x:v>47</x:v>
      </x:c>
      <x:c r="K118" s="9" t="s">
        <x:v>383</x:v>
      </x:c>
      <x:c r="L118" s="8" t="str">
        <x:v>FALSE</x:v>
      </x:c>
      <x:c r="M118" s="8" t="str">
        <x:v>GPT-5.6</x:v>
      </x:c>
      <x:c r="N118" s="10" t="n">
        <x:f aca="0">IF(E118=H118,1,0)</x:f>
        <x:v>1</x:v>
      </x:c>
      <x:c r="O118" s="10" t="n">
        <x:f aca="0">IF(F118=I118,1,0)</x:f>
        <x:v>1</x:v>
      </x:c>
    </x:row>
    <x:row r="119" ht="35.04999923706055" hidden="0">
      <x:c r="A119" s="6" t="n">
        <x:v>118</x:v>
      </x:c>
      <x:c r="B119" s="6" t="n">
        <x:v>183589</x:v>
      </x:c>
      <x:c r="C119" s="6" t="s">
        <x:v>384</x:v>
      </x:c>
      <x:c r="D119" s="7" t="s">
        <x:v>385</x:v>
      </x:c>
      <x:c r="E119" s="6" t="s">
        <x:v>23</x:v>
      </x:c>
      <x:c r="F119" s="6" t="s">
        <x:v>45</x:v>
      </x:c>
      <x:c r="G119" s="7" t="s">
        <x:v>295</x:v>
      </x:c>
      <x:c r="H119" s="8" t="s">
        <x:v>23</x:v>
      </x:c>
      <x:c r="I119" s="8" t="s">
        <x:v>45</x:v>
      </x:c>
      <x:c r="J119" s="8" t="s">
        <x:v>47</x:v>
      </x:c>
      <x:c r="K119" s="9" t="s">
        <x:v>386</x:v>
      </x:c>
      <x:c r="L119" s="8" t="str">
        <x:v>FALSE</x:v>
      </x:c>
      <x:c r="M119" s="8" t="str">
        <x:v>GPT-5.6</x:v>
      </x:c>
      <x:c r="N119" s="10" t="n">
        <x:f aca="0">IF(E119=H119,1,0)</x:f>
        <x:v>1</x:v>
      </x:c>
      <x:c r="O119" s="10" t="n">
        <x:f aca="0">IF(F119=I119,1,0)</x:f>
        <x:v>1</x:v>
      </x:c>
    </x:row>
    <x:row r="120" ht="23.850000381469727" hidden="0">
      <x:c r="A120" s="6" t="n">
        <x:v>119</x:v>
      </x:c>
      <x:c r="B120" s="6" t="n">
        <x:v>476908</x:v>
      </x:c>
      <x:c r="C120" s="6" t="s">
        <x:v>387</x:v>
      </x:c>
      <x:c r="D120" s="7" t="s">
        <x:v>388</x:v>
      </x:c>
      <x:c r="E120" s="6" t="s">
        <x:v>23</x:v>
      </x:c>
      <x:c r="F120" s="6" t="s">
        <x:v>45</x:v>
      </x:c>
      <x:c r="G120" s="7" t="s">
        <x:v>295</x:v>
      </x:c>
      <x:c r="H120" s="8" t="str">
        <x:v>return_refund</x:v>
      </x:c>
      <x:c r="I120" s="8" t="str">
        <x:v>auto</x:v>
      </x:c>
      <x:c r="J120" s="8" t="str">
        <x:v>MEDIUM</x:v>
      </x:c>
      <x:c r="K120" s="9" t="str">
        <x:v>Asks for return option/policy solution; no refund-status chase or repeated failed collection</x:v>
      </x:c>
      <x:c r="L120" s="8" t="str">
        <x:v>FALSE</x:v>
      </x:c>
      <x:c r="M120" s="8" t="str">
        <x:v>GPT-5.6</x:v>
      </x:c>
      <x:c r="N120" s="10" t="n">
        <x:f aca="0">IF(E120=H120,1,0)</x:f>
        <x:v>1</x:v>
      </x:c>
      <x:c r="O120" s="10" t="n">
        <x:f aca="0">IF(F120=I120,1,0)</x:f>
        <x:v>1</x:v>
      </x:c>
    </x:row>
    <x:row r="121" ht="23.850000381469727" hidden="0">
      <x:c r="A121" s="6" t="n">
        <x:v>120</x:v>
      </x:c>
      <x:c r="B121" s="6" t="n">
        <x:v>264669</x:v>
      </x:c>
      <x:c r="C121" s="6" t="s">
        <x:v>389</x:v>
      </x:c>
      <x:c r="D121" s="7" t="s">
        <x:v>390</x:v>
      </x:c>
      <x:c r="E121" s="6" t="s">
        <x:v>23</x:v>
      </x:c>
      <x:c r="F121" s="6" t="s">
        <x:v>45</x:v>
      </x:c>
      <x:c r="G121" s="7" t="s">
        <x:v>295</x:v>
      </x:c>
      <x:c r="H121" s="8" t="s">
        <x:v>23</x:v>
      </x:c>
      <x:c r="I121" s="8" t="s">
        <x:v>45</x:v>
      </x:c>
      <x:c r="J121" s="8" t="s">
        <x:v>51</x:v>
      </x:c>
      <x:c r="K121" s="9" t="s">
        <x:v>391</x:v>
      </x:c>
      <x:c r="L121" s="8" t="str">
        <x:v>FALSE</x:v>
      </x:c>
      <x:c r="M121" s="8" t="str">
        <x:v>claude_draft</x:v>
      </x:c>
      <x:c r="N121" s="10" t="n">
        <x:f aca="0">IF(E121=H121,1,0)</x:f>
        <x:v>1</x:v>
      </x:c>
      <x:c r="O121" s="10" t="n">
        <x:f aca="0">IF(F121=I121,1,0)</x:f>
        <x:v>1</x:v>
      </x:c>
    </x:row>
    <x:row r="122" ht="23.850000381469727" hidden="0">
      <x:c r="A122" s="6" t="n">
        <x:v>121</x:v>
      </x:c>
      <x:c r="B122" s="6" t="n">
        <x:v>273166</x:v>
      </x:c>
      <x:c r="C122" s="6" t="s">
        <x:v>392</x:v>
      </x:c>
      <x:c r="D122" s="7" t="s">
        <x:v>393</x:v>
      </x:c>
      <x:c r="E122" s="6" t="s">
        <x:v>23</x:v>
      </x:c>
      <x:c r="F122" s="6" t="s">
        <x:v>45</x:v>
      </x:c>
      <x:c r="G122" s="7" t="s">
        <x:v>295</x:v>
      </x:c>
      <x:c r="H122" s="8" t="s">
        <x:v>23</x:v>
      </x:c>
      <x:c r="I122" s="8" t="s">
        <x:v>45</x:v>
      </x:c>
      <x:c r="J122" s="8" t="s">
        <x:v>51</x:v>
      </x:c>
      <x:c r="K122" s="9" t="s">
        <x:v>394</x:v>
      </x:c>
      <x:c r="L122" s="8" t="str">
        <x:v>FALSE</x:v>
      </x:c>
      <x:c r="M122" s="8" t="str">
        <x:v>claude_draft</x:v>
      </x:c>
      <x:c r="N122" s="10" t="n">
        <x:f aca="0">IF(E122=H122,1,0)</x:f>
        <x:v>1</x:v>
      </x:c>
      <x:c r="O122" s="10" t="n">
        <x:f aca="0">IF(F122=I122,1,0)</x:f>
        <x:v>1</x:v>
      </x:c>
    </x:row>
    <x:row r="123" ht="46.25" hidden="0">
      <x:c r="A123" s="6" t="n">
        <x:v>122</x:v>
      </x:c>
      <x:c r="B123" s="6" t="n">
        <x:v>538606</x:v>
      </x:c>
      <x:c r="C123" s="6" t="s">
        <x:v>395</x:v>
      </x:c>
      <x:c r="D123" s="7" t="s">
        <x:v>396</x:v>
      </x:c>
      <x:c r="E123" s="6" t="s">
        <x:v>23</x:v>
      </x:c>
      <x:c r="F123" s="6" t="s">
        <x:v>45</x:v>
      </x:c>
      <x:c r="G123" s="7" t="s">
        <x:v>295</x:v>
      </x:c>
      <x:c r="H123" s="8" t="str">
        <x:v>account_prime</x:v>
      </x:c>
      <x:c r="I123" s="8" t="str">
        <x:v>escalate</x:v>
      </x:c>
      <x:c r="J123" s="8" t="str">
        <x:v>HIGH</x:v>
      </x:c>
      <x:c r="K123" s="9" t="str">
        <x:v>Prime benefit failure with requested credit/refund; Prime money/compensation issue</x:v>
      </x:c>
      <x:c r="L123" s="8" t="str">
        <x:v>FALSE</x:v>
      </x:c>
      <x:c r="M123" s="8" t="str">
        <x:v>GPT-5.6</x:v>
      </x:c>
      <x:c r="N123" s="10" t="n">
        <x:f aca="0">IF(E123=H123,1,0)</x:f>
        <x:v>0</x:v>
      </x:c>
      <x:c r="O123" s="10" t="n">
        <x:f aca="0">IF(F123=I123,1,0)</x:f>
        <x:v>0</x:v>
      </x:c>
    </x:row>
    <x:row r="124" ht="23.850000381469727" hidden="0">
      <x:c r="A124" s="6" t="n">
        <x:v>123</x:v>
      </x:c>
      <x:c r="B124" s="6" t="n">
        <x:v>40421</x:v>
      </x:c>
      <x:c r="C124" s="6" t="s">
        <x:v>397</x:v>
      </x:c>
      <x:c r="D124" s="7" t="s">
        <x:v>398</x:v>
      </x:c>
      <x:c r="E124" s="6" t="s">
        <x:v>23</x:v>
      </x:c>
      <x:c r="F124" s="6" t="s">
        <x:v>45</x:v>
      </x:c>
      <x:c r="G124" s="7" t="s">
        <x:v>295</x:v>
      </x:c>
      <x:c r="H124" s="8" t="s">
        <x:v>23</x:v>
      </x:c>
      <x:c r="I124" s="8" t="s">
        <x:v>45</x:v>
      </x:c>
      <x:c r="J124" s="8" t="s">
        <x:v>100</x:v>
      </x:c>
      <x:c r="K124" s="9" t="s">
        <x:v>399</x:v>
      </x:c>
      <x:c r="L124" s="8" t="str">
        <x:v>FALSE</x:v>
      </x:c>
      <x:c r="M124" s="8" t="str">
        <x:v>GPT-5.6</x:v>
      </x:c>
      <x:c r="N124" s="10" t="n">
        <x:f aca="0">IF(E124=H124,1,0)</x:f>
        <x:v>1</x:v>
      </x:c>
      <x:c r="O124" s="10" t="n">
        <x:f aca="0">IF(F124=I124,1,0)</x:f>
        <x:v>1</x:v>
      </x:c>
    </x:row>
    <x:row r="125" ht="23.850000381469727" hidden="0">
      <x:c r="A125" s="6" t="n">
        <x:v>124</x:v>
      </x:c>
      <x:c r="B125" s="6" t="n">
        <x:v>654255</x:v>
      </x:c>
      <x:c r="C125" s="6" t="s">
        <x:v>400</x:v>
      </x:c>
      <x:c r="D125" s="7" t="s">
        <x:v>401</x:v>
      </x:c>
      <x:c r="E125" s="6" t="s">
        <x:v>23</x:v>
      </x:c>
      <x:c r="F125" s="6" t="s">
        <x:v>45</x:v>
      </x:c>
      <x:c r="G125" s="7" t="s">
        <x:v>295</x:v>
      </x:c>
      <x:c r="H125" s="8" t="s">
        <x:v>26</x:v>
      </x:c>
      <x:c r="I125" s="8" t="s">
        <x:v>45</x:v>
      </x:c>
      <x:c r="J125" s="8" t="s">
        <x:v>47</x:v>
      </x:c>
      <x:c r="K125" s="9" t="s">
        <x:v>402</x:v>
      </x:c>
      <x:c r="L125" s="8" t="str">
        <x:v>FALSE</x:v>
      </x:c>
      <x:c r="M125" s="8" t="str">
        <x:v>GPT-5.6</x:v>
      </x:c>
      <x:c r="N125" s="10" t="n">
        <x:f aca="0">IF(E125=H125,1,0)</x:f>
        <x:v>0</x:v>
      </x:c>
      <x:c r="O125" s="10" t="n">
        <x:f aca="0">IF(F125=I125,1,0)</x:f>
        <x:v>1</x:v>
      </x:c>
    </x:row>
    <x:row r="126" ht="35.04999923706055" hidden="0">
      <x:c r="A126" s="6" t="n">
        <x:v>125</x:v>
      </x:c>
      <x:c r="B126" s="6" t="n">
        <x:v>461293</x:v>
      </x:c>
      <x:c r="C126" s="6" t="s">
        <x:v>403</x:v>
      </x:c>
      <x:c r="D126" s="7" t="s">
        <x:v>404</x:v>
      </x:c>
      <x:c r="E126" s="6" t="s">
        <x:v>23</x:v>
      </x:c>
      <x:c r="F126" s="6" t="s">
        <x:v>45</x:v>
      </x:c>
      <x:c r="G126" s="7" t="s">
        <x:v>295</x:v>
      </x:c>
      <x:c r="H126" s="8" t="s">
        <x:v>23</x:v>
      </x:c>
      <x:c r="I126" s="8" t="s">
        <x:v>45</x:v>
      </x:c>
      <x:c r="J126" s="8" t="s">
        <x:v>47</x:v>
      </x:c>
      <x:c r="K126" s="9" t="s">
        <x:v>405</x:v>
      </x:c>
      <x:c r="L126" s="8" t="str">
        <x:v>FALSE</x:v>
      </x:c>
      <x:c r="M126" s="8" t="str">
        <x:v>GPT-5.6</x:v>
      </x:c>
      <x:c r="N126" s="10" t="n">
        <x:f aca="0">IF(E126=H126,1,0)</x:f>
        <x:v>1</x:v>
      </x:c>
      <x:c r="O126" s="10" t="n">
        <x:f aca="0">IF(F126=I126,1,0)</x:f>
        <x:v>1</x:v>
      </x:c>
    </x:row>
    <x:row r="127" ht="23.850000381469727" hidden="0">
      <x:c r="A127" s="6" t="n">
        <x:v>126</x:v>
      </x:c>
      <x:c r="B127" s="6" t="n">
        <x:v>379401</x:v>
      </x:c>
      <x:c r="C127" s="6" t="s">
        <x:v>406</x:v>
      </x:c>
      <x:c r="D127" s="7" t="s">
        <x:v>407</x:v>
      </x:c>
      <x:c r="E127" s="6" t="s">
        <x:v>23</x:v>
      </x:c>
      <x:c r="F127" s="6" t="s">
        <x:v>45</x:v>
      </x:c>
      <x:c r="G127" s="7" t="s">
        <x:v>295</x:v>
      </x:c>
      <x:c r="H127" s="8" t="s">
        <x:v>27</x:v>
      </x:c>
      <x:c r="I127" s="8" t="s">
        <x:v>45</x:v>
      </x:c>
      <x:c r="J127" s="8" t="s">
        <x:v>100</x:v>
      </x:c>
      <x:c r="K127" s="9" t="s">
        <x:v>408</x:v>
      </x:c>
      <x:c r="L127" s="8" t="str">
        <x:v>TRUE</x:v>
      </x:c>
      <x:c r="M127" s="8" t="str">
        <x:v>claude_draft</x:v>
      </x:c>
      <x:c r="N127" s="10" t="n">
        <x:f aca="0">IF(E127=H127,1,0)</x:f>
        <x:v>0</x:v>
      </x:c>
      <x:c r="O127" s="10" t="n">
        <x:f aca="0">IF(F127=I127,1,0)</x:f>
        <x:v>1</x:v>
      </x:c>
    </x:row>
    <x:row r="128" ht="23.850000381469727" hidden="0">
      <x:c r="A128" s="6" t="n">
        <x:v>127</x:v>
      </x:c>
      <x:c r="B128" s="6" t="n">
        <x:v>391183</x:v>
      </x:c>
      <x:c r="C128" s="6" t="s">
        <x:v>409</x:v>
      </x:c>
      <x:c r="D128" s="7" t="s">
        <x:v>410</x:v>
      </x:c>
      <x:c r="E128" s="6" t="s">
        <x:v>23</x:v>
      </x:c>
      <x:c r="F128" s="6" t="s">
        <x:v>45</x:v>
      </x:c>
      <x:c r="G128" s="7" t="s">
        <x:v>295</x:v>
      </x:c>
      <x:c r="H128" s="8" t="s">
        <x:v>23</x:v>
      </x:c>
      <x:c r="I128" s="8" t="s">
        <x:v>45</x:v>
      </x:c>
      <x:c r="J128" s="8" t="s">
        <x:v>47</x:v>
      </x:c>
      <x:c r="K128" s="9" t="s">
        <x:v>411</x:v>
      </x:c>
      <x:c r="L128" s="8" t="str">
        <x:v>FALSE</x:v>
      </x:c>
      <x:c r="M128" s="8" t="str">
        <x:v>GPT-5.6</x:v>
      </x:c>
      <x:c r="N128" s="10" t="n">
        <x:f aca="0">IF(E128=H128,1,0)</x:f>
        <x:v>1</x:v>
      </x:c>
      <x:c r="O128" s="10" t="n">
        <x:f aca="0">IF(F128=I128,1,0)</x:f>
        <x:v>1</x:v>
      </x:c>
    </x:row>
    <x:row r="129" ht="46.25" hidden="0">
      <x:c r="A129" s="6" t="n">
        <x:v>128</x:v>
      </x:c>
      <x:c r="B129" s="6" t="n">
        <x:v>103083</x:v>
      </x:c>
      <x:c r="C129" s="6" t="s">
        <x:v>412</x:v>
      </x:c>
      <x:c r="D129" s="7" t="s">
        <x:v>413</x:v>
      </x:c>
      <x:c r="E129" s="6" t="s">
        <x:v>23</x:v>
      </x:c>
      <x:c r="F129" s="6" t="s">
        <x:v>45</x:v>
      </x:c>
      <x:c r="G129" s="7" t="s">
        <x:v>295</x:v>
      </x:c>
      <x:c r="H129" s="8" t="s">
        <x:v>23</x:v>
      </x:c>
      <x:c r="I129" s="8" t="s">
        <x:v>45</x:v>
      </x:c>
      <x:c r="J129" s="8" t="s">
        <x:v>47</x:v>
      </x:c>
      <x:c r="K129" s="9" t="s">
        <x:v>414</x:v>
      </x:c>
      <x:c r="L129" s="8" t="str">
        <x:v>FALSE</x:v>
      </x:c>
      <x:c r="M129" s="8" t="str">
        <x:v>GPT-5.6</x:v>
      </x:c>
      <x:c r="N129" s="10" t="n">
        <x:f aca="0">IF(E129=H129,1,0)</x:f>
        <x:v>1</x:v>
      </x:c>
      <x:c r="O129" s="10" t="n">
        <x:f aca="0">IF(F129=I129,1,0)</x:f>
        <x:v>1</x:v>
      </x:c>
    </x:row>
    <x:row r="130" ht="23.850000381469727" hidden="0">
      <x:c r="A130" s="6" t="n">
        <x:v>129</x:v>
      </x:c>
      <x:c r="B130" s="6" t="n">
        <x:v>392599</x:v>
      </x:c>
      <x:c r="C130" s="6" t="s">
        <x:v>415</x:v>
      </x:c>
      <x:c r="D130" s="7" t="s">
        <x:v>416</x:v>
      </x:c>
      <x:c r="E130" s="6" t="s">
        <x:v>23</x:v>
      </x:c>
      <x:c r="F130" s="6" t="s">
        <x:v>45</x:v>
      </x:c>
      <x:c r="G130" s="7" t="s">
        <x:v>295</x:v>
      </x:c>
      <x:c r="H130" s="8" t="s">
        <x:v>23</x:v>
      </x:c>
      <x:c r="I130" s="8" t="s">
        <x:v>45</x:v>
      </x:c>
      <x:c r="J130" s="8" t="s">
        <x:v>51</x:v>
      </x:c>
      <x:c r="K130" s="9" t="s">
        <x:v>417</x:v>
      </x:c>
      <x:c r="L130" s="8" t="str">
        <x:v>FALSE</x:v>
      </x:c>
      <x:c r="M130" s="8" t="str">
        <x:v>claude_draft</x:v>
      </x:c>
      <x:c r="N130" s="10" t="n">
        <x:f aca="0">IF(E130=H130,1,0)</x:f>
        <x:v>1</x:v>
      </x:c>
      <x:c r="O130" s="10" t="n">
        <x:f aca="0">IF(F130=I130,1,0)</x:f>
        <x:v>1</x:v>
      </x:c>
    </x:row>
    <x:row r="131" ht="57.45000076293945" hidden="0">
      <x:c r="A131" s="6" t="n">
        <x:v>130</x:v>
      </x:c>
      <x:c r="B131" s="6" t="n">
        <x:v>606181</x:v>
      </x:c>
      <x:c r="C131" s="6" t="s">
        <x:v>418</x:v>
      </x:c>
      <x:c r="D131" s="7" t="s">
        <x:v>419</x:v>
      </x:c>
      <x:c r="E131" s="6" t="s">
        <x:v>23</x:v>
      </x:c>
      <x:c r="F131" s="6" t="s">
        <x:v>45</x:v>
      </x:c>
      <x:c r="G131" s="7" t="s">
        <x:v>295</x:v>
      </x:c>
      <x:c r="H131" s="8" t="s">
        <x:v>23</x:v>
      </x:c>
      <x:c r="I131" s="8" t="s">
        <x:v>58</x:v>
      </x:c>
      <x:c r="J131" s="8" t="s">
        <x:v>51</x:v>
      </x:c>
      <x:c r="K131" s="9" t="s">
        <x:v>420</x:v>
      </x:c>
      <x:c r="L131" s="8" t="str">
        <x:v>FALSE</x:v>
      </x:c>
      <x:c r="M131" s="8" t="str">
        <x:v>claude_draft</x:v>
      </x:c>
      <x:c r="N131" s="10" t="n">
        <x:f aca="0">IF(E131=H131,1,0)</x:f>
        <x:v>1</x:v>
      </x:c>
      <x:c r="O131" s="10" t="n">
        <x:f aca="0">IF(F131=I131,1,0)</x:f>
        <x:v>0</x:v>
      </x:c>
    </x:row>
    <x:row r="132" ht="23.850000381469727" hidden="0">
      <x:c r="A132" s="6" t="n">
        <x:v>131</x:v>
      </x:c>
      <x:c r="B132" s="6" t="n">
        <x:v>665688</x:v>
      </x:c>
      <x:c r="C132" s="6" t="s">
        <x:v>421</x:v>
      </x:c>
      <x:c r="D132" s="7" t="s">
        <x:v>422</x:v>
      </x:c>
      <x:c r="E132" s="6" t="s">
        <x:v>25</x:v>
      </x:c>
      <x:c r="F132" s="6" t="s">
        <x:v>45</x:v>
      </x:c>
      <x:c r="G132" s="7" t="s">
        <x:v>423</x:v>
      </x:c>
      <x:c r="H132" s="8" t="s">
        <x:v>25</x:v>
      </x:c>
      <x:c r="I132" s="8" t="s">
        <x:v>45</x:v>
      </x:c>
      <x:c r="J132" s="8" t="s">
        <x:v>51</x:v>
      </x:c>
      <x:c r="K132" s="9" t="s">
        <x:v>424</x:v>
      </x:c>
      <x:c r="L132" s="8" t="str">
        <x:v>FALSE</x:v>
      </x:c>
      <x:c r="M132" s="8" t="str">
        <x:v>claude_draft</x:v>
      </x:c>
      <x:c r="N132" s="10" t="n">
        <x:f aca="0">IF(E132=H132,1,0)</x:f>
        <x:v>1</x:v>
      </x:c>
      <x:c r="O132" s="10" t="n">
        <x:f aca="0">IF(F132=I132,1,0)</x:f>
        <x:v>1</x:v>
      </x:c>
    </x:row>
    <x:row r="133" ht="23.850000381469727" hidden="0">
      <x:c r="A133" s="6" t="n">
        <x:v>132</x:v>
      </x:c>
      <x:c r="B133" s="6" t="n">
        <x:v>359184</x:v>
      </x:c>
      <x:c r="C133" s="6" t="s">
        <x:v>425</x:v>
      </x:c>
      <x:c r="D133" s="7" t="s">
        <x:v>426</x:v>
      </x:c>
      <x:c r="E133" s="6" t="s">
        <x:v>25</x:v>
      </x:c>
      <x:c r="F133" s="6" t="s">
        <x:v>45</x:v>
      </x:c>
      <x:c r="G133" s="7" t="s">
        <x:v>423</x:v>
      </x:c>
      <x:c r="H133" s="8" t="s">
        <x:v>25</x:v>
      </x:c>
      <x:c r="I133" s="8" t="s">
        <x:v>45</x:v>
      </x:c>
      <x:c r="J133" s="8" t="s">
        <x:v>47</x:v>
      </x:c>
      <x:c r="K133" s="9" t="s">
        <x:v>427</x:v>
      </x:c>
      <x:c r="L133" s="8" t="str">
        <x:v>FALSE</x:v>
      </x:c>
      <x:c r="M133" s="8" t="str">
        <x:v>GPT-5.6</x:v>
      </x:c>
      <x:c r="N133" s="10" t="n">
        <x:f aca="0">IF(E133=H133,1,0)</x:f>
        <x:v>1</x:v>
      </x:c>
      <x:c r="O133" s="10" t="n">
        <x:f aca="0">IF(F133=I133,1,0)</x:f>
        <x:v>1</x:v>
      </x:c>
    </x:row>
    <x:row r="134" ht="35.04999923706055" hidden="0">
      <x:c r="A134" s="6" t="n">
        <x:v>133</x:v>
      </x:c>
      <x:c r="B134" s="6" t="n">
        <x:v>279009</x:v>
      </x:c>
      <x:c r="C134" s="6" t="s">
        <x:v>428</x:v>
      </x:c>
      <x:c r="D134" s="7" t="s">
        <x:v>429</x:v>
      </x:c>
      <x:c r="E134" s="6" t="s">
        <x:v>25</x:v>
      </x:c>
      <x:c r="F134" s="6" t="s">
        <x:v>45</x:v>
      </x:c>
      <x:c r="G134" s="7" t="s">
        <x:v>423</x:v>
      </x:c>
      <x:c r="H134" s="8" t="s">
        <x:v>25</x:v>
      </x:c>
      <x:c r="I134" s="8" t="s">
        <x:v>45</x:v>
      </x:c>
      <x:c r="J134" s="8" t="s">
        <x:v>51</x:v>
      </x:c>
      <x:c r="K134" s="9" t="s">
        <x:v>430</x:v>
      </x:c>
      <x:c r="L134" s="8" t="str">
        <x:v>FALSE</x:v>
      </x:c>
      <x:c r="M134" s="8" t="str">
        <x:v>claude_draft</x:v>
      </x:c>
      <x:c r="N134" s="10" t="n">
        <x:f aca="0">IF(E134=H134,1,0)</x:f>
        <x:v>1</x:v>
      </x:c>
      <x:c r="O134" s="10" t="n">
        <x:f aca="0">IF(F134=I134,1,0)</x:f>
        <x:v>1</x:v>
      </x:c>
    </x:row>
    <x:row r="135" ht="23.850000381469727" hidden="0">
      <x:c r="A135" s="6" t="n">
        <x:v>134</x:v>
      </x:c>
      <x:c r="B135" s="6" t="n">
        <x:v>729374</x:v>
      </x:c>
      <x:c r="C135" s="6" t="s">
        <x:v>431</x:v>
      </x:c>
      <x:c r="D135" s="7" t="s">
        <x:v>432</x:v>
      </x:c>
      <x:c r="E135" s="6" t="s">
        <x:v>25</x:v>
      </x:c>
      <x:c r="F135" s="6" t="s">
        <x:v>45</x:v>
      </x:c>
      <x:c r="G135" s="7" t="s">
        <x:v>423</x:v>
      </x:c>
      <x:c r="H135" s="8" t="s">
        <x:v>25</x:v>
      </x:c>
      <x:c r="I135" s="8" t="s">
        <x:v>45</x:v>
      </x:c>
      <x:c r="J135" s="8" t="s">
        <x:v>51</x:v>
      </x:c>
      <x:c r="K135" s="9" t="s">
        <x:v>433</x:v>
      </x:c>
      <x:c r="L135" s="8" t="str">
        <x:v>FALSE</x:v>
      </x:c>
      <x:c r="M135" s="8" t="str">
        <x:v>claude_draft</x:v>
      </x:c>
      <x:c r="N135" s="10" t="n">
        <x:f aca="0">IF(E135=H135,1,0)</x:f>
        <x:v>1</x:v>
      </x:c>
      <x:c r="O135" s="10" t="n">
        <x:f aca="0">IF(F135=I135,1,0)</x:f>
        <x:v>1</x:v>
      </x:c>
    </x:row>
    <x:row r="136" ht="23.850000381469727" hidden="0">
      <x:c r="A136" s="6" t="n">
        <x:v>135</x:v>
      </x:c>
      <x:c r="B136" s="6" t="n">
        <x:v>777182</x:v>
      </x:c>
      <x:c r="C136" s="6" t="s">
        <x:v>434</x:v>
      </x:c>
      <x:c r="D136" s="7" t="s">
        <x:v>435</x:v>
      </x:c>
      <x:c r="E136" s="6" t="s">
        <x:v>25</x:v>
      </x:c>
      <x:c r="F136" s="6" t="s">
        <x:v>45</x:v>
      </x:c>
      <x:c r="G136" s="7" t="s">
        <x:v>423</x:v>
      </x:c>
      <x:c r="H136" s="8" t="s">
        <x:v>25</x:v>
      </x:c>
      <x:c r="I136" s="8" t="s">
        <x:v>45</x:v>
      </x:c>
      <x:c r="J136" s="8" t="s">
        <x:v>51</x:v>
      </x:c>
      <x:c r="K136" s="9" t="s">
        <x:v>436</x:v>
      </x:c>
      <x:c r="L136" s="8" t="str">
        <x:v>FALSE</x:v>
      </x:c>
      <x:c r="M136" s="8" t="str">
        <x:v>claude_draft</x:v>
      </x:c>
      <x:c r="N136" s="10" t="n">
        <x:f aca="0">IF(E136=H136,1,0)</x:f>
        <x:v>1</x:v>
      </x:c>
      <x:c r="O136" s="10" t="n">
        <x:f aca="0">IF(F136=I136,1,0)</x:f>
        <x:v>1</x:v>
      </x:c>
    </x:row>
    <x:row r="137" ht="35.04999923706055" hidden="0">
      <x:c r="A137" s="6" t="n">
        <x:v>136</x:v>
      </x:c>
      <x:c r="B137" s="6" t="n">
        <x:v>215981</x:v>
      </x:c>
      <x:c r="C137" s="6" t="s">
        <x:v>437</x:v>
      </x:c>
      <x:c r="D137" s="7" t="s">
        <x:v>438</x:v>
      </x:c>
      <x:c r="E137" s="6" t="s">
        <x:v>25</x:v>
      </x:c>
      <x:c r="F137" s="6" t="s">
        <x:v>45</x:v>
      </x:c>
      <x:c r="G137" s="7" t="s">
        <x:v>423</x:v>
      </x:c>
      <x:c r="H137" s="8" t="s">
        <x:v>25</x:v>
      </x:c>
      <x:c r="I137" s="8" t="s">
        <x:v>58</x:v>
      </x:c>
      <x:c r="J137" s="8" t="s">
        <x:v>47</x:v>
      </x:c>
      <x:c r="K137" s="9" t="s">
        <x:v>439</x:v>
      </x:c>
      <x:c r="L137" s="8" t="str">
        <x:v>FALSE</x:v>
      </x:c>
      <x:c r="M137" s="8" t="str">
        <x:v>GPT-5.6</x:v>
      </x:c>
      <x:c r="N137" s="10" t="n">
        <x:f aca="0">IF(E137=H137,1,0)</x:f>
        <x:v>1</x:v>
      </x:c>
      <x:c r="O137" s="10" t="n">
        <x:f aca="0">IF(F137=I137,1,0)</x:f>
        <x:v>0</x:v>
      </x:c>
    </x:row>
    <x:row r="138" ht="23.850000381469727" hidden="0">
      <x:c r="A138" s="6" t="n">
        <x:v>137</x:v>
      </x:c>
      <x:c r="B138" s="6" t="n">
        <x:v>180377</x:v>
      </x:c>
      <x:c r="C138" s="6" t="s">
        <x:v>440</x:v>
      </x:c>
      <x:c r="D138" s="7" t="s">
        <x:v>441</x:v>
      </x:c>
      <x:c r="E138" s="6" t="s">
        <x:v>25</x:v>
      </x:c>
      <x:c r="F138" s="6" t="s">
        <x:v>45</x:v>
      </x:c>
      <x:c r="G138" s="7" t="s">
        <x:v>423</x:v>
      </x:c>
      <x:c r="H138" s="8" t="s">
        <x:v>27</x:v>
      </x:c>
      <x:c r="I138" s="8" t="s">
        <x:v>58</x:v>
      </x:c>
      <x:c r="J138" s="8" t="s">
        <x:v>47</x:v>
      </x:c>
      <x:c r="K138" s="9" t="s">
        <x:v>442</x:v>
      </x:c>
      <x:c r="L138" s="8" t="str">
        <x:v>FALSE</x:v>
      </x:c>
      <x:c r="M138" s="8" t="str">
        <x:v>GPT-5.6</x:v>
      </x:c>
      <x:c r="N138" s="10" t="n">
        <x:f aca="0">IF(E138=H138,1,0)</x:f>
        <x:v>0</x:v>
      </x:c>
      <x:c r="O138" s="10" t="n">
        <x:f aca="0">IF(F138=I138,1,0)</x:f>
        <x:v>0</x:v>
      </x:c>
    </x:row>
    <x:row r="139" ht="23.850000381469727" hidden="0">
      <x:c r="A139" s="6" t="n">
        <x:v>138</x:v>
      </x:c>
      <x:c r="B139" s="6" t="n">
        <x:v>266045</x:v>
      </x:c>
      <x:c r="C139" s="6" t="s">
        <x:v>443</x:v>
      </x:c>
      <x:c r="D139" s="7" t="s">
        <x:v>444</x:v>
      </x:c>
      <x:c r="E139" s="6" t="s">
        <x:v>25</x:v>
      </x:c>
      <x:c r="F139" s="6" t="s">
        <x:v>45</x:v>
      </x:c>
      <x:c r="G139" s="7" t="s">
        <x:v>423</x:v>
      </x:c>
      <x:c r="H139" s="8" t="s">
        <x:v>27</x:v>
      </x:c>
      <x:c r="I139" s="8" t="s">
        <x:v>58</x:v>
      </x:c>
      <x:c r="J139" s="8" t="s">
        <x:v>51</x:v>
      </x:c>
      <x:c r="K139" s="9" t="s">
        <x:v>445</x:v>
      </x:c>
      <x:c r="L139" s="8" t="str">
        <x:v>FALSE</x:v>
      </x:c>
      <x:c r="M139" s="8" t="str">
        <x:v>claude_draft</x:v>
      </x:c>
      <x:c r="N139" s="10" t="n">
        <x:f aca="0">IF(E139=H139,1,0)</x:f>
        <x:v>0</x:v>
      </x:c>
      <x:c r="O139" s="10" t="n">
        <x:f aca="0">IF(F139=I139,1,0)</x:f>
        <x:v>0</x:v>
      </x:c>
    </x:row>
    <x:row r="140" ht="35.04999923706055" hidden="0">
      <x:c r="A140" s="6" t="n">
        <x:v>139</x:v>
      </x:c>
      <x:c r="B140" s="6" t="n">
        <x:v>83432</x:v>
      </x:c>
      <x:c r="C140" s="6" t="s">
        <x:v>446</x:v>
      </x:c>
      <x:c r="D140" s="7" t="s">
        <x:v>447</x:v>
      </x:c>
      <x:c r="E140" s="6" t="s">
        <x:v>25</x:v>
      </x:c>
      <x:c r="F140" s="6" t="s">
        <x:v>45</x:v>
      </x:c>
      <x:c r="G140" s="7" t="s">
        <x:v>423</x:v>
      </x:c>
      <x:c r="H140" s="8" t="s">
        <x:v>25</x:v>
      </x:c>
      <x:c r="I140" s="8" t="s">
        <x:v>45</x:v>
      </x:c>
      <x:c r="J140" s="8" t="s">
        <x:v>51</x:v>
      </x:c>
      <x:c r="K140" s="9" t="s">
        <x:v>448</x:v>
      </x:c>
      <x:c r="L140" s="8" t="str">
        <x:v>FALSE</x:v>
      </x:c>
      <x:c r="M140" s="8" t="str">
        <x:v>claude_draft</x:v>
      </x:c>
      <x:c r="N140" s="10" t="n">
        <x:f aca="0">IF(E140=H140,1,0)</x:f>
        <x:v>1</x:v>
      </x:c>
      <x:c r="O140" s="10" t="n">
        <x:f aca="0">IF(F140=I140,1,0)</x:f>
        <x:v>1</x:v>
      </x:c>
    </x:row>
    <x:row r="141" ht="23.850000381469727" hidden="0">
      <x:c r="A141" s="6" t="n">
        <x:v>140</x:v>
      </x:c>
      <x:c r="B141" s="6" t="n">
        <x:v>721297</x:v>
      </x:c>
      <x:c r="C141" s="6" t="s">
        <x:v>449</x:v>
      </x:c>
      <x:c r="D141" s="7" t="s">
        <x:v>450</x:v>
      </x:c>
      <x:c r="E141" s="6" t="s">
        <x:v>25</x:v>
      </x:c>
      <x:c r="F141" s="6" t="s">
        <x:v>45</x:v>
      </x:c>
      <x:c r="G141" s="7" t="s">
        <x:v>423</x:v>
      </x:c>
      <x:c r="H141" s="8" t="s">
        <x:v>27</x:v>
      </x:c>
      <x:c r="I141" s="8" t="s">
        <x:v>45</x:v>
      </x:c>
      <x:c r="J141" s="8" t="s">
        <x:v>100</x:v>
      </x:c>
      <x:c r="K141" s="9" t="s">
        <x:v>451</x:v>
      </x:c>
      <x:c r="L141" s="8" t="str">
        <x:v>TRUE</x:v>
      </x:c>
      <x:c r="M141" s="8" t="str">
        <x:v>claude_draft</x:v>
      </x:c>
      <x:c r="N141" s="10" t="n">
        <x:f aca="0">IF(E141=H141,1,0)</x:f>
        <x:v>0</x:v>
      </x:c>
      <x:c r="O141" s="10" t="n">
        <x:f aca="0">IF(F141=I141,1,0)</x:f>
        <x:v>1</x:v>
      </x:c>
    </x:row>
    <x:row r="142" ht="35.04999923706055" hidden="0">
      <x:c r="A142" s="6" t="n">
        <x:v>141</x:v>
      </x:c>
      <x:c r="B142" s="6" t="n">
        <x:v>432917</x:v>
      </x:c>
      <x:c r="C142" s="6" t="s">
        <x:v>452</x:v>
      </x:c>
      <x:c r="D142" s="7" t="s">
        <x:v>453</x:v>
      </x:c>
      <x:c r="E142" s="6" t="s">
        <x:v>25</x:v>
      </x:c>
      <x:c r="F142" s="6" t="s">
        <x:v>45</x:v>
      </x:c>
      <x:c r="G142" s="7" t="s">
        <x:v>423</x:v>
      </x:c>
      <x:c r="H142" s="8" t="s">
        <x:v>25</x:v>
      </x:c>
      <x:c r="I142" s="8" t="s">
        <x:v>45</x:v>
      </x:c>
      <x:c r="J142" s="8" t="s">
        <x:v>47</x:v>
      </x:c>
      <x:c r="K142" s="9" t="s">
        <x:v>454</x:v>
      </x:c>
      <x:c r="L142" s="8" t="str">
        <x:v>FALSE</x:v>
      </x:c>
      <x:c r="M142" s="8" t="str">
        <x:v>GPT-5.6</x:v>
      </x:c>
      <x:c r="N142" s="10" t="n">
        <x:f aca="0">IF(E142=H142,1,0)</x:f>
        <x:v>1</x:v>
      </x:c>
      <x:c r="O142" s="10" t="n">
        <x:f aca="0">IF(F142=I142,1,0)</x:f>
        <x:v>1</x:v>
      </x:c>
    </x:row>
    <x:row r="143" ht="35.04999923706055" hidden="0">
      <x:c r="A143" s="6" t="n">
        <x:v>142</x:v>
      </x:c>
      <x:c r="B143" s="6" t="n">
        <x:v>69778</x:v>
      </x:c>
      <x:c r="C143" s="6" t="s">
        <x:v>455</x:v>
      </x:c>
      <x:c r="D143" s="7" t="s">
        <x:v>456</x:v>
      </x:c>
      <x:c r="E143" s="6" t="s">
        <x:v>25</x:v>
      </x:c>
      <x:c r="F143" s="6" t="s">
        <x:v>45</x:v>
      </x:c>
      <x:c r="G143" s="7" t="s">
        <x:v>423</x:v>
      </x:c>
      <x:c r="H143" s="8" t="s">
        <x:v>25</x:v>
      </x:c>
      <x:c r="I143" s="8" t="s">
        <x:v>58</x:v>
      </x:c>
      <x:c r="J143" s="8" t="s">
        <x:v>47</x:v>
      </x:c>
      <x:c r="K143" s="9" t="s">
        <x:v>457</x:v>
      </x:c>
      <x:c r="L143" s="8" t="str">
        <x:v>TRUE</x:v>
      </x:c>
      <x:c r="M143" s="8" t="str">
        <x:v>claude_draft</x:v>
      </x:c>
      <x:c r="N143" s="10" t="n">
        <x:f aca="0">IF(E143=H143,1,0)</x:f>
        <x:v>1</x:v>
      </x:c>
      <x:c r="O143" s="10" t="n">
        <x:f aca="0">IF(F143=I143,1,0)</x:f>
        <x:v>0</x:v>
      </x:c>
    </x:row>
    <x:row r="144" ht="35.04999923706055" hidden="0">
      <x:c r="A144" s="6" t="n">
        <x:v>143</x:v>
      </x:c>
      <x:c r="B144" s="6" t="n">
        <x:v>180676</x:v>
      </x:c>
      <x:c r="C144" s="6" t="s">
        <x:v>458</x:v>
      </x:c>
      <x:c r="D144" s="7" t="s">
        <x:v>459</x:v>
      </x:c>
      <x:c r="E144" s="6" t="s">
        <x:v>25</x:v>
      </x:c>
      <x:c r="F144" s="6" t="s">
        <x:v>45</x:v>
      </x:c>
      <x:c r="G144" s="7" t="s">
        <x:v>423</x:v>
      </x:c>
      <x:c r="H144" s="8" t="s">
        <x:v>25</x:v>
      </x:c>
      <x:c r="I144" s="8" t="s">
        <x:v>58</x:v>
      </x:c>
      <x:c r="J144" s="8" t="s">
        <x:v>47</x:v>
      </x:c>
      <x:c r="K144" s="9" t="s">
        <x:v>460</x:v>
      </x:c>
      <x:c r="L144" s="8" t="str">
        <x:v>FALSE</x:v>
      </x:c>
      <x:c r="M144" s="8" t="str">
        <x:v>GPT-5.6</x:v>
      </x:c>
      <x:c r="N144" s="10" t="n">
        <x:f aca="0">IF(E144=H144,1,0)</x:f>
        <x:v>1</x:v>
      </x:c>
      <x:c r="O144" s="10" t="n">
        <x:f aca="0">IF(F144=I144,1,0)</x:f>
        <x:v>0</x:v>
      </x:c>
    </x:row>
    <x:row r="145" ht="23.850000381469727" hidden="0">
      <x:c r="A145" s="6" t="n">
        <x:v>144</x:v>
      </x:c>
      <x:c r="B145" s="6" t="n">
        <x:v>800325</x:v>
      </x:c>
      <x:c r="C145" s="6" t="s">
        <x:v>461</x:v>
      </x:c>
      <x:c r="D145" s="7" t="s">
        <x:v>462</x:v>
      </x:c>
      <x:c r="E145" s="6" t="s">
        <x:v>25</x:v>
      </x:c>
      <x:c r="F145" s="6" t="s">
        <x:v>45</x:v>
      </x:c>
      <x:c r="G145" s="7" t="s">
        <x:v>423</x:v>
      </x:c>
      <x:c r="H145" s="8" t="s">
        <x:v>25</x:v>
      </x:c>
      <x:c r="I145" s="8" t="s">
        <x:v>45</x:v>
      </x:c>
      <x:c r="J145" s="8" t="s">
        <x:v>51</x:v>
      </x:c>
      <x:c r="K145" s="9" t="s">
        <x:v>463</x:v>
      </x:c>
      <x:c r="L145" s="8" t="str">
        <x:v>FALSE</x:v>
      </x:c>
      <x:c r="M145" s="8" t="str">
        <x:v>claude_draft</x:v>
      </x:c>
      <x:c r="N145" s="10" t="n">
        <x:f aca="0">IF(E145=H145,1,0)</x:f>
        <x:v>1</x:v>
      </x:c>
      <x:c r="O145" s="10" t="n">
        <x:f aca="0">IF(F145=I145,1,0)</x:f>
        <x:v>1</x:v>
      </x:c>
    </x:row>
    <x:row r="146" ht="23.850000381469727" hidden="0">
      <x:c r="A146" s="6" t="n">
        <x:v>145</x:v>
      </x:c>
      <x:c r="B146" s="6" t="n">
        <x:v>436881</x:v>
      </x:c>
      <x:c r="C146" s="6" t="s">
        <x:v>464</x:v>
      </x:c>
      <x:c r="D146" s="7" t="s">
        <x:v>465</x:v>
      </x:c>
      <x:c r="E146" s="6" t="s">
        <x:v>25</x:v>
      </x:c>
      <x:c r="F146" s="6" t="s">
        <x:v>45</x:v>
      </x:c>
      <x:c r="G146" s="7" t="s">
        <x:v>423</x:v>
      </x:c>
      <x:c r="H146" s="8" t="s">
        <x:v>26</x:v>
      </x:c>
      <x:c r="I146" s="8" t="s">
        <x:v>45</x:v>
      </x:c>
      <x:c r="J146" s="8" t="s">
        <x:v>47</x:v>
      </x:c>
      <x:c r="K146" s="9" t="s">
        <x:v>466</x:v>
      </x:c>
      <x:c r="L146" s="8" t="str">
        <x:v>FALSE</x:v>
      </x:c>
      <x:c r="M146" s="8" t="str">
        <x:v>GPT-5.6</x:v>
      </x:c>
      <x:c r="N146" s="10" t="n">
        <x:f aca="0">IF(E146=H146,1,0)</x:f>
        <x:v>0</x:v>
      </x:c>
      <x:c r="O146" s="10" t="n">
        <x:f aca="0">IF(F146=I146,1,0)</x:f>
        <x:v>1</x:v>
      </x:c>
    </x:row>
    <x:row r="147" ht="23.850000381469727" hidden="0">
      <x:c r="A147" s="6" t="n">
        <x:v>146</x:v>
      </x:c>
      <x:c r="B147" s="6" t="n">
        <x:v>419843</x:v>
      </x:c>
      <x:c r="C147" s="6" t="s">
        <x:v>467</x:v>
      </x:c>
      <x:c r="D147" s="7" t="s">
        <x:v>468</x:v>
      </x:c>
      <x:c r="E147" s="6" t="s">
        <x:v>25</x:v>
      </x:c>
      <x:c r="F147" s="6" t="s">
        <x:v>45</x:v>
      </x:c>
      <x:c r="G147" s="7" t="s">
        <x:v>423</x:v>
      </x:c>
      <x:c r="H147" s="8" t="s">
        <x:v>25</x:v>
      </x:c>
      <x:c r="I147" s="8" t="s">
        <x:v>58</x:v>
      </x:c>
      <x:c r="J147" s="8" t="s">
        <x:v>51</x:v>
      </x:c>
      <x:c r="K147" s="9" t="s">
        <x:v>469</x:v>
      </x:c>
      <x:c r="L147" s="8" t="str">
        <x:v>FALSE</x:v>
      </x:c>
      <x:c r="M147" s="8" t="str">
        <x:v>claude_draft</x:v>
      </x:c>
      <x:c r="N147" s="10" t="n">
        <x:f aca="0">IF(E147=H147,1,0)</x:f>
        <x:v>1</x:v>
      </x:c>
      <x:c r="O147" s="10" t="n">
        <x:f aca="0">IF(F147=I147,1,0)</x:f>
        <x:v>0</x:v>
      </x:c>
    </x:row>
    <x:row r="148" ht="35.04999923706055" hidden="0">
      <x:c r="A148" s="6" t="n">
        <x:v>147</x:v>
      </x:c>
      <x:c r="B148" s="6" t="n">
        <x:v>38161</x:v>
      </x:c>
      <x:c r="C148" s="6" t="s">
        <x:v>470</x:v>
      </x:c>
      <x:c r="D148" s="7" t="s">
        <x:v>471</x:v>
      </x:c>
      <x:c r="E148" s="6" t="s">
        <x:v>25</x:v>
      </x:c>
      <x:c r="F148" s="6" t="s">
        <x:v>45</x:v>
      </x:c>
      <x:c r="G148" s="7" t="s">
        <x:v>423</x:v>
      </x:c>
      <x:c r="H148" s="8" t="s">
        <x:v>25</x:v>
      </x:c>
      <x:c r="I148" s="8" t="s">
        <x:v>45</x:v>
      </x:c>
      <x:c r="J148" s="8" t="s">
        <x:v>47</x:v>
      </x:c>
      <x:c r="K148" s="9" t="s">
        <x:v>472</x:v>
      </x:c>
      <x:c r="L148" s="8" t="str">
        <x:v>FALSE</x:v>
      </x:c>
      <x:c r="M148" s="8" t="str">
        <x:v>GPT-5.6</x:v>
      </x:c>
      <x:c r="N148" s="10" t="n">
        <x:f aca="0">IF(E148=H148,1,0)</x:f>
        <x:v>1</x:v>
      </x:c>
      <x:c r="O148" s="10" t="n">
        <x:f aca="0">IF(F148=I148,1,0)</x:f>
        <x:v>1</x:v>
      </x:c>
    </x:row>
    <x:row r="149" ht="23.850000381469727" hidden="0">
      <x:c r="A149" s="6" t="n">
        <x:v>148</x:v>
      </x:c>
      <x:c r="B149" s="6" t="n">
        <x:v>350951</x:v>
      </x:c>
      <x:c r="C149" s="6" t="s">
        <x:v>473</x:v>
      </x:c>
      <x:c r="D149" s="7" t="s">
        <x:v>474</x:v>
      </x:c>
      <x:c r="E149" s="6" t="s">
        <x:v>25</x:v>
      </x:c>
      <x:c r="F149" s="6" t="s">
        <x:v>45</x:v>
      </x:c>
      <x:c r="G149" s="7" t="s">
        <x:v>423</x:v>
      </x:c>
      <x:c r="H149" s="8" t="s">
        <x:v>22</x:v>
      </x:c>
      <x:c r="I149" s="8" t="s">
        <x:v>58</x:v>
      </x:c>
      <x:c r="J149" s="8" t="s">
        <x:v>51</x:v>
      </x:c>
      <x:c r="K149" s="9" t="s">
        <x:v>475</x:v>
      </x:c>
      <x:c r="L149" s="8" t="str">
        <x:v>FALSE</x:v>
      </x:c>
      <x:c r="M149" s="8" t="str">
        <x:v>claude_draft</x:v>
      </x:c>
      <x:c r="N149" s="10" t="n">
        <x:f aca="0">IF(E149=H149,1,0)</x:f>
        <x:v>0</x:v>
      </x:c>
      <x:c r="O149" s="10" t="n">
        <x:f aca="0">IF(F149=I149,1,0)</x:f>
        <x:v>0</x:v>
      </x:c>
    </x:row>
    <x:row r="150" ht="35.04999923706055" hidden="0">
      <x:c r="A150" s="6" t="n">
        <x:v>149</x:v>
      </x:c>
      <x:c r="B150" s="6" t="n">
        <x:v>601289</x:v>
      </x:c>
      <x:c r="C150" s="6" t="s">
        <x:v>476</x:v>
      </x:c>
      <x:c r="D150" s="7" t="s">
        <x:v>477</x:v>
      </x:c>
      <x:c r="E150" s="6" t="s">
        <x:v>25</x:v>
      </x:c>
      <x:c r="F150" s="6" t="s">
        <x:v>45</x:v>
      </x:c>
      <x:c r="G150" s="7" t="s">
        <x:v>423</x:v>
      </x:c>
      <x:c r="H150" s="8" t="s">
        <x:v>25</x:v>
      </x:c>
      <x:c r="I150" s="8" t="s">
        <x:v>45</x:v>
      </x:c>
      <x:c r="J150" s="8" t="s">
        <x:v>51</x:v>
      </x:c>
      <x:c r="K150" s="9" t="s">
        <x:v>478</x:v>
      </x:c>
      <x:c r="L150" s="8" t="str">
        <x:v>FALSE</x:v>
      </x:c>
      <x:c r="M150" s="8" t="str">
        <x:v>claude_draft</x:v>
      </x:c>
      <x:c r="N150" s="10" t="n">
        <x:f aca="0">IF(E150=H150,1,0)</x:f>
        <x:v>1</x:v>
      </x:c>
      <x:c r="O150" s="10" t="n">
        <x:f aca="0">IF(F150=I150,1,0)</x:f>
        <x:v>1</x:v>
      </x:c>
    </x:row>
    <x:row r="151" ht="35.04999923706055" hidden="0">
      <x:c r="A151" s="6" t="n">
        <x:v>150</x:v>
      </x:c>
      <x:c r="B151" s="6" t="n">
        <x:v>748766</x:v>
      </x:c>
      <x:c r="C151" s="6" t="s">
        <x:v>479</x:v>
      </x:c>
      <x:c r="D151" s="7" t="s">
        <x:v>480</x:v>
      </x:c>
      <x:c r="E151" s="6" t="s">
        <x:v>25</x:v>
      </x:c>
      <x:c r="F151" s="6" t="s">
        <x:v>45</x:v>
      </x:c>
      <x:c r="G151" s="7" t="s">
        <x:v>423</x:v>
      </x:c>
      <x:c r="H151" s="8" t="s">
        <x:v>22</x:v>
      </x:c>
      <x:c r="I151" s="8" t="s">
        <x:v>58</x:v>
      </x:c>
      <x:c r="J151" s="8" t="s">
        <x:v>47</x:v>
      </x:c>
      <x:c r="K151" s="9" t="s">
        <x:v>481</x:v>
      </x:c>
      <x:c r="L151" s="8" t="str">
        <x:v>FALSE</x:v>
      </x:c>
      <x:c r="M151" s="8" t="str">
        <x:v>GPT-5.6</x:v>
      </x:c>
      <x:c r="N151" s="10" t="n">
        <x:f aca="0">IF(E151=H151,1,0)</x:f>
        <x:v>0</x:v>
      </x:c>
      <x:c r="O151" s="10" t="n">
        <x:f aca="0">IF(F151=I151,1,0)</x:f>
        <x:v>0</x:v>
      </x:c>
    </x:row>
    <x:row r="152" ht="23.850000381469727" hidden="0">
      <x:c r="A152" s="6" t="n">
        <x:v>151</x:v>
      </x:c>
      <x:c r="B152" s="6" t="n">
        <x:v>756348</x:v>
      </x:c>
      <x:c r="C152" s="6" t="s">
        <x:v>482</x:v>
      </x:c>
      <x:c r="D152" s="7" t="s">
        <x:v>483</x:v>
      </x:c>
      <x:c r="E152" s="6" t="s">
        <x:v>25</x:v>
      </x:c>
      <x:c r="F152" s="6" t="s">
        <x:v>45</x:v>
      </x:c>
      <x:c r="G152" s="7" t="s">
        <x:v>423</x:v>
      </x:c>
      <x:c r="H152" s="8" t="s">
        <x:v>25</x:v>
      </x:c>
      <x:c r="I152" s="8" t="s">
        <x:v>45</x:v>
      </x:c>
      <x:c r="J152" s="8" t="s">
        <x:v>47</x:v>
      </x:c>
      <x:c r="K152" s="9" t="s">
        <x:v>484</x:v>
      </x:c>
      <x:c r="L152" s="8" t="str">
        <x:v>FALSE</x:v>
      </x:c>
      <x:c r="M152" s="8" t="str">
        <x:v>GPT-5.6</x:v>
      </x:c>
      <x:c r="N152" s="10" t="n">
        <x:f aca="0">IF(E152=H152,1,0)</x:f>
        <x:v>1</x:v>
      </x:c>
      <x:c r="O152" s="10" t="n">
        <x:f aca="0">IF(F152=I152,1,0)</x:f>
        <x:v>1</x:v>
      </x:c>
    </x:row>
    <x:row r="153" ht="23.850000381469727" hidden="0">
      <x:c r="A153" s="6" t="n">
        <x:v>152</x:v>
      </x:c>
      <x:c r="B153" s="6" t="n">
        <x:v>109935</x:v>
      </x:c>
      <x:c r="C153" s="6" t="s">
        <x:v>485</x:v>
      </x:c>
      <x:c r="D153" s="7" t="s">
        <x:v>486</x:v>
      </x:c>
      <x:c r="E153" s="6" t="s">
        <x:v>25</x:v>
      </x:c>
      <x:c r="F153" s="6" t="s">
        <x:v>58</x:v>
      </x:c>
      <x:c r="G153" s="7" t="s">
        <x:v>140</x:v>
      </x:c>
      <x:c r="H153" s="8" t="s">
        <x:v>25</x:v>
      </x:c>
      <x:c r="I153" s="8" t="s">
        <x:v>45</x:v>
      </x:c>
      <x:c r="J153" s="8" t="s">
        <x:v>47</x:v>
      </x:c>
      <x:c r="K153" s="9" t="s">
        <x:v>487</x:v>
      </x:c>
      <x:c r="L153" s="8" t="str">
        <x:v>FALSE</x:v>
      </x:c>
      <x:c r="M153" s="8" t="str">
        <x:v>GPT-5.6</x:v>
      </x:c>
      <x:c r="N153" s="10" t="n">
        <x:f aca="0">IF(E153=H153,1,0)</x:f>
        <x:v>1</x:v>
      </x:c>
      <x:c r="O153" s="10" t="n">
        <x:f aca="0">IF(F153=I153,1,0)</x:f>
        <x:v>0</x:v>
      </x:c>
    </x:row>
    <x:row r="154" ht="23.850000381469727" hidden="0">
      <x:c r="A154" s="6" t="n">
        <x:v>153</x:v>
      </x:c>
      <x:c r="B154" s="6" t="n">
        <x:v>568352</x:v>
      </x:c>
      <x:c r="C154" s="6" t="s">
        <x:v>488</x:v>
      </x:c>
      <x:c r="D154" s="7" t="s">
        <x:v>489</x:v>
      </x:c>
      <x:c r="E154" s="6" t="s">
        <x:v>25</x:v>
      </x:c>
      <x:c r="F154" s="6" t="s">
        <x:v>45</x:v>
      </x:c>
      <x:c r="G154" s="7" t="s">
        <x:v>423</x:v>
      </x:c>
      <x:c r="H154" s="8" t="s">
        <x:v>26</x:v>
      </x:c>
      <x:c r="I154" s="8" t="s">
        <x:v>45</x:v>
      </x:c>
      <x:c r="J154" s="8" t="s">
        <x:v>47</x:v>
      </x:c>
      <x:c r="K154" s="9" t="s">
        <x:v>490</x:v>
      </x:c>
      <x:c r="L154" s="8" t="str">
        <x:v>FALSE</x:v>
      </x:c>
      <x:c r="M154" s="8" t="str">
        <x:v>GPT-5.6</x:v>
      </x:c>
      <x:c r="N154" s="10" t="n">
        <x:f aca="0">IF(E154=H154,1,0)</x:f>
        <x:v>0</x:v>
      </x:c>
      <x:c r="O154" s="10" t="n">
        <x:f aca="0">IF(F154=I154,1,0)</x:f>
        <x:v>1</x:v>
      </x:c>
    </x:row>
    <x:row r="155" ht="23.850000381469727" hidden="0">
      <x:c r="A155" s="6" t="n">
        <x:v>154</x:v>
      </x:c>
      <x:c r="B155" s="6" t="n">
        <x:v>272865</x:v>
      </x:c>
      <x:c r="C155" s="6" t="s">
        <x:v>491</x:v>
      </x:c>
      <x:c r="D155" s="7" t="s">
        <x:v>492</x:v>
      </x:c>
      <x:c r="E155" s="6" t="s">
        <x:v>25</x:v>
      </x:c>
      <x:c r="F155" s="6" t="s">
        <x:v>45</x:v>
      </x:c>
      <x:c r="G155" s="7" t="s">
        <x:v>423</x:v>
      </x:c>
      <x:c r="H155" s="8" t="s">
        <x:v>25</x:v>
      </x:c>
      <x:c r="I155" s="8" t="s">
        <x:v>45</x:v>
      </x:c>
      <x:c r="J155" s="8" t="s">
        <x:v>51</x:v>
      </x:c>
      <x:c r="K155" s="9" t="s">
        <x:v>493</x:v>
      </x:c>
      <x:c r="L155" s="8" t="str">
        <x:v>FALSE</x:v>
      </x:c>
      <x:c r="M155" s="8" t="str">
        <x:v>claude_draft</x:v>
      </x:c>
      <x:c r="N155" s="10" t="n">
        <x:f aca="0">IF(E155=H155,1,0)</x:f>
        <x:v>1</x:v>
      </x:c>
      <x:c r="O155" s="10" t="n">
        <x:f aca="0">IF(F155=I155,1,0)</x:f>
        <x:v>1</x:v>
      </x:c>
    </x:row>
    <x:row r="156" ht="23.850000381469727" hidden="0">
      <x:c r="A156" s="6" t="n">
        <x:v>155</x:v>
      </x:c>
      <x:c r="B156" s="6" t="n">
        <x:v>547936</x:v>
      </x:c>
      <x:c r="C156" s="6" t="s">
        <x:v>494</x:v>
      </x:c>
      <x:c r="D156" s="7" t="s">
        <x:v>495</x:v>
      </x:c>
      <x:c r="E156" s="6" t="s">
        <x:v>25</x:v>
      </x:c>
      <x:c r="F156" s="6" t="s">
        <x:v>45</x:v>
      </x:c>
      <x:c r="G156" s="7" t="s">
        <x:v>423</x:v>
      </x:c>
      <x:c r="H156" s="8" t="s">
        <x:v>25</x:v>
      </x:c>
      <x:c r="I156" s="8" t="s">
        <x:v>45</x:v>
      </x:c>
      <x:c r="J156" s="8" t="s">
        <x:v>51</x:v>
      </x:c>
      <x:c r="K156" s="9" t="s">
        <x:v>496</x:v>
      </x:c>
      <x:c r="L156" s="8" t="str">
        <x:v>FALSE</x:v>
      </x:c>
      <x:c r="M156" s="8" t="str">
        <x:v>claude_draft</x:v>
      </x:c>
      <x:c r="N156" s="10" t="n">
        <x:f aca="0">IF(E156=H156,1,0)</x:f>
        <x:v>1</x:v>
      </x:c>
      <x:c r="O156" s="10" t="n">
        <x:f aca="0">IF(F156=I156,1,0)</x:f>
        <x:v>1</x:v>
      </x:c>
    </x:row>
    <x:row r="157" ht="23.850000381469727" hidden="0">
      <x:c r="A157" s="6" t="n">
        <x:v>156</x:v>
      </x:c>
      <x:c r="B157" s="6" t="n">
        <x:v>537523</x:v>
      </x:c>
      <x:c r="C157" s="6" t="s">
        <x:v>497</x:v>
      </x:c>
      <x:c r="D157" s="7" t="s">
        <x:v>498</x:v>
      </x:c>
      <x:c r="E157" s="6" t="s">
        <x:v>26</x:v>
      </x:c>
      <x:c r="F157" s="6" t="s">
        <x:v>45</x:v>
      </x:c>
      <x:c r="G157" s="7" t="s">
        <x:v>499</x:v>
      </x:c>
      <x:c r="H157" s="8" t="s">
        <x:v>26</x:v>
      </x:c>
      <x:c r="I157" s="8" t="s">
        <x:v>45</x:v>
      </x:c>
      <x:c r="J157" s="8" t="s">
        <x:v>51</x:v>
      </x:c>
      <x:c r="K157" s="9" t="s">
        <x:v>500</x:v>
      </x:c>
      <x:c r="L157" s="8" t="str">
        <x:v>FALSE</x:v>
      </x:c>
      <x:c r="M157" s="8" t="str">
        <x:v>claude_draft</x:v>
      </x:c>
      <x:c r="N157" s="10" t="n">
        <x:f aca="0">IF(E157=H157,1,0)</x:f>
        <x:v>1</x:v>
      </x:c>
      <x:c r="O157" s="10" t="n">
        <x:f aca="0">IF(F157=I157,1,0)</x:f>
        <x:v>1</x:v>
      </x:c>
    </x:row>
    <x:row r="158" ht="23.850000381469727" hidden="0">
      <x:c r="A158" s="6" t="n">
        <x:v>157</x:v>
      </x:c>
      <x:c r="B158" s="6" t="n">
        <x:v>739681</x:v>
      </x:c>
      <x:c r="C158" s="6" t="s">
        <x:v>501</x:v>
      </x:c>
      <x:c r="D158" s="7" t="s">
        <x:v>502</x:v>
      </x:c>
      <x:c r="E158" s="6" t="s">
        <x:v>26</x:v>
      </x:c>
      <x:c r="F158" s="6" t="s">
        <x:v>45</x:v>
      </x:c>
      <x:c r="G158" s="7" t="s">
        <x:v>499</x:v>
      </x:c>
      <x:c r="H158" s="8" t="s">
        <x:v>26</x:v>
      </x:c>
      <x:c r="I158" s="8" t="s">
        <x:v>45</x:v>
      </x:c>
      <x:c r="J158" s="8" t="s">
        <x:v>51</x:v>
      </x:c>
      <x:c r="K158" s="9" t="s">
        <x:v>503</x:v>
      </x:c>
      <x:c r="L158" s="8" t="str">
        <x:v>FALSE</x:v>
      </x:c>
      <x:c r="M158" s="8" t="str">
        <x:v>claude_draft</x:v>
      </x:c>
      <x:c r="N158" s="10" t="n">
        <x:f aca="0">IF(E158=H158,1,0)</x:f>
        <x:v>1</x:v>
      </x:c>
      <x:c r="O158" s="10" t="n">
        <x:f aca="0">IF(F158=I158,1,0)</x:f>
        <x:v>1</x:v>
      </x:c>
    </x:row>
    <x:row r="159" ht="57.45000076293945" hidden="0">
      <x:c r="A159" s="6" t="n">
        <x:v>158</x:v>
      </x:c>
      <x:c r="B159" s="6" t="n">
        <x:v>539770</x:v>
      </x:c>
      <x:c r="C159" s="6" t="s">
        <x:v>504</x:v>
      </x:c>
      <x:c r="D159" s="7" t="s">
        <x:v>505</x:v>
      </x:c>
      <x:c r="E159" s="6" t="s">
        <x:v>26</x:v>
      </x:c>
      <x:c r="F159" s="6" t="s">
        <x:v>45</x:v>
      </x:c>
      <x:c r="G159" s="7" t="s">
        <x:v>499</x:v>
      </x:c>
      <x:c r="H159" s="8" t="s">
        <x:v>26</x:v>
      </x:c>
      <x:c r="I159" s="8" t="s">
        <x:v>45</x:v>
      </x:c>
      <x:c r="J159" s="8" t="s">
        <x:v>47</x:v>
      </x:c>
      <x:c r="K159" s="9" t="s">
        <x:v>506</x:v>
      </x:c>
      <x:c r="L159" s="8" t="str">
        <x:v>FALSE</x:v>
      </x:c>
      <x:c r="M159" s="8" t="str">
        <x:v>GPT-5.6</x:v>
      </x:c>
      <x:c r="N159" s="10" t="n">
        <x:f aca="0">IF(E159=H159,1,0)</x:f>
        <x:v>1</x:v>
      </x:c>
      <x:c r="O159" s="10" t="n">
        <x:f aca="0">IF(F159=I159,1,0)</x:f>
        <x:v>1</x:v>
      </x:c>
    </x:row>
    <x:row r="160" ht="35.04999923706055" hidden="0">
      <x:c r="A160" s="6" t="n">
        <x:v>159</x:v>
      </x:c>
      <x:c r="B160" s="6" t="n">
        <x:v>96812</x:v>
      </x:c>
      <x:c r="C160" s="6" t="s">
        <x:v>507</x:v>
      </x:c>
      <x:c r="D160" s="7" t="s">
        <x:v>508</x:v>
      </x:c>
      <x:c r="E160" s="6" t="s">
        <x:v>26</x:v>
      </x:c>
      <x:c r="F160" s="6" t="s">
        <x:v>45</x:v>
      </x:c>
      <x:c r="G160" s="7" t="s">
        <x:v>499</x:v>
      </x:c>
      <x:c r="H160" s="8" t="str">
        <x:v>account_prime</x:v>
      </x:c>
      <x:c r="I160" s="8" t="str">
        <x:v>auto</x:v>
      </x:c>
      <x:c r="J160" s="8" t="str">
        <x:v>MEDIUM</x:v>
      </x:c>
      <x:c r="K160" s="9" t="str">
        <x:v>Complaint is specifically about Prime value/2-day benefit rather than a standalone tracking request</x:v>
      </x:c>
      <x:c r="L160" s="8" t="str">
        <x:v>FALSE</x:v>
      </x:c>
      <x:c r="M160" s="8" t="str">
        <x:v>GPT-5.6</x:v>
      </x:c>
      <x:c r="N160" s="10" t="n">
        <x:f aca="0">IF(E160=H160,1,0)</x:f>
        <x:v>1</x:v>
      </x:c>
      <x:c r="O160" s="10" t="n">
        <x:f aca="0">IF(F160=I160,1,0)</x:f>
        <x:v>1</x:v>
      </x:c>
    </x:row>
    <x:row r="161" ht="35.04999923706055" hidden="0">
      <x:c r="A161" s="6" t="n">
        <x:v>160</x:v>
      </x:c>
      <x:c r="B161" s="6" t="n">
        <x:v>179418</x:v>
      </x:c>
      <x:c r="C161" s="6" t="s">
        <x:v>509</x:v>
      </x:c>
      <x:c r="D161" s="7" t="s">
        <x:v>510</x:v>
      </x:c>
      <x:c r="E161" s="6" t="s">
        <x:v>26</x:v>
      </x:c>
      <x:c r="F161" s="6" t="s">
        <x:v>45</x:v>
      </x:c>
      <x:c r="G161" s="7" t="s">
        <x:v>499</x:v>
      </x:c>
      <x:c r="H161" s="8" t="s">
        <x:v>27</x:v>
      </x:c>
      <x:c r="I161" s="8" t="s">
        <x:v>45</x:v>
      </x:c>
      <x:c r="J161" s="8" t="s">
        <x:v>47</x:v>
      </x:c>
      <x:c r="K161" s="9" t="s">
        <x:v>511</x:v>
      </x:c>
      <x:c r="L161" s="8" t="str">
        <x:v>FALSE</x:v>
      </x:c>
      <x:c r="M161" s="8" t="str">
        <x:v>GPT-5.6</x:v>
      </x:c>
      <x:c r="N161" s="10" t="n">
        <x:f aca="0">IF(E161=H161,1,0)</x:f>
        <x:v>0</x:v>
      </x:c>
      <x:c r="O161" s="10" t="n">
        <x:f aca="0">IF(F161=I161,1,0)</x:f>
        <x:v>1</x:v>
      </x:c>
    </x:row>
    <x:row r="162" ht="15" hidden="0">
      <x:c r="A162" s="6" t="n">
        <x:v>161</x:v>
      </x:c>
      <x:c r="B162" s="6" t="n">
        <x:v>387154</x:v>
      </x:c>
      <x:c r="C162" s="6" t="s">
        <x:v>512</x:v>
      </x:c>
      <x:c r="D162" s="7" t="s">
        <x:v>513</x:v>
      </x:c>
      <x:c r="E162" s="6" t="s">
        <x:v>26</x:v>
      </x:c>
      <x:c r="F162" s="6" t="s">
        <x:v>45</x:v>
      </x:c>
      <x:c r="G162" s="7" t="s">
        <x:v>499</x:v>
      </x:c>
      <x:c r="H162" s="8" t="s">
        <x:v>26</x:v>
      </x:c>
      <x:c r="I162" s="8" t="s">
        <x:v>45</x:v>
      </x:c>
      <x:c r="J162" s="8" t="s">
        <x:v>47</x:v>
      </x:c>
      <x:c r="K162" s="9" t="s">
        <x:v>514</x:v>
      </x:c>
      <x:c r="L162" s="8" t="str">
        <x:v>FALSE</x:v>
      </x:c>
      <x:c r="M162" s="8" t="str">
        <x:v>GPT-5.6</x:v>
      </x:c>
      <x:c r="N162" s="10" t="n">
        <x:f aca="0">IF(E162=H162,1,0)</x:f>
        <x:v>1</x:v>
      </x:c>
      <x:c r="O162" s="10" t="n">
        <x:f aca="0">IF(F162=I162,1,0)</x:f>
        <x:v>1</x:v>
      </x:c>
    </x:row>
    <x:row r="163" ht="23.850000381469727" hidden="0">
      <x:c r="A163" s="6" t="n">
        <x:v>162</x:v>
      </x:c>
      <x:c r="B163" s="6" t="n">
        <x:v>727381</x:v>
      </x:c>
      <x:c r="C163" s="6" t="s">
        <x:v>515</x:v>
      </x:c>
      <x:c r="D163" s="7" t="s">
        <x:v>516</x:v>
      </x:c>
      <x:c r="E163" s="6" t="s">
        <x:v>26</x:v>
      </x:c>
      <x:c r="F163" s="6" t="s">
        <x:v>58</x:v>
      </x:c>
      <x:c r="G163" s="7" t="s">
        <x:v>517</x:v>
      </x:c>
      <x:c r="H163" s="8" t="s">
        <x:v>26</x:v>
      </x:c>
      <x:c r="I163" s="8" t="s">
        <x:v>58</x:v>
      </x:c>
      <x:c r="J163" s="8" t="s">
        <x:v>51</x:v>
      </x:c>
      <x:c r="K163" s="9" t="s">
        <x:v>518</x:v>
      </x:c>
      <x:c r="L163" s="8" t="str">
        <x:v>FALSE</x:v>
      </x:c>
      <x:c r="M163" s="8" t="str">
        <x:v>claude_draft</x:v>
      </x:c>
      <x:c r="N163" s="10" t="n">
        <x:f aca="0">IF(E163=H163,1,0)</x:f>
        <x:v>1</x:v>
      </x:c>
      <x:c r="O163" s="10" t="n">
        <x:f aca="0">IF(F163=I163,1,0)</x:f>
        <x:v>1</x:v>
      </x:c>
    </x:row>
    <x:row r="164" ht="35.04999923706055" hidden="0">
      <x:c r="A164" s="6" t="n">
        <x:v>163</x:v>
      </x:c>
      <x:c r="B164" s="6" t="n">
        <x:v>619077</x:v>
      </x:c>
      <x:c r="C164" s="6" t="s">
        <x:v>519</x:v>
      </x:c>
      <x:c r="D164" s="7" t="s">
        <x:v>520</x:v>
      </x:c>
      <x:c r="E164" s="6" t="s">
        <x:v>26</x:v>
      </x:c>
      <x:c r="F164" s="6" t="s">
        <x:v>45</x:v>
      </x:c>
      <x:c r="G164" s="7" t="s">
        <x:v>499</x:v>
      </x:c>
      <x:c r="H164" s="8" t="s">
        <x:v>26</x:v>
      </x:c>
      <x:c r="I164" s="8" t="s">
        <x:v>58</x:v>
      </x:c>
      <x:c r="J164" s="8" t="s">
        <x:v>51</x:v>
      </x:c>
      <x:c r="K164" s="9" t="s">
        <x:v>521</x:v>
      </x:c>
      <x:c r="L164" s="8" t="str">
        <x:v>FALSE</x:v>
      </x:c>
      <x:c r="M164" s="8" t="str">
        <x:v>claude_draft</x:v>
      </x:c>
      <x:c r="N164" s="10" t="n">
        <x:f aca="0">IF(E164=H164,1,0)</x:f>
        <x:v>1</x:v>
      </x:c>
      <x:c r="O164" s="10" t="n">
        <x:f aca="0">IF(F164=I164,1,0)</x:f>
        <x:v>0</x:v>
      </x:c>
    </x:row>
    <x:row r="165" ht="15" hidden="0">
      <x:c r="A165" s="6" t="n">
        <x:v>164</x:v>
      </x:c>
      <x:c r="B165" s="6" t="n">
        <x:v>384165</x:v>
      </x:c>
      <x:c r="C165" s="6" t="s">
        <x:v>522</x:v>
      </x:c>
      <x:c r="D165" s="7" t="s">
        <x:v>523</x:v>
      </x:c>
      <x:c r="E165" s="6" t="s">
        <x:v>26</x:v>
      </x:c>
      <x:c r="F165" s="6" t="s">
        <x:v>45</x:v>
      </x:c>
      <x:c r="G165" s="7" t="s">
        <x:v>499</x:v>
      </x:c>
      <x:c r="H165" s="8" t="s">
        <x:v>21</x:v>
      </x:c>
      <x:c r="I165" s="8" t="s">
        <x:v>45</x:v>
      </x:c>
      <x:c r="J165" s="8" t="s">
        <x:v>47</x:v>
      </x:c>
      <x:c r="K165" s="9" t="s">
        <x:v>524</x:v>
      </x:c>
      <x:c r="L165" s="8" t="str">
        <x:v>FALSE</x:v>
      </x:c>
      <x:c r="M165" s="8" t="str">
        <x:v>GPT-5.6</x:v>
      </x:c>
      <x:c r="N165" s="10" t="n">
        <x:f aca="0">IF(E165=H165,1,0)</x:f>
        <x:v>0</x:v>
      </x:c>
      <x:c r="O165" s="10" t="n">
        <x:f aca="0">IF(F165=I165,1,0)</x:f>
        <x:v>1</x:v>
      </x:c>
    </x:row>
    <x:row r="166" ht="35.04999923706055" hidden="0">
      <x:c r="A166" s="6" t="n">
        <x:v>165</x:v>
      </x:c>
      <x:c r="B166" s="6" t="n">
        <x:v>124749</x:v>
      </x:c>
      <x:c r="C166" s="6" t="s">
        <x:v>525</x:v>
      </x:c>
      <x:c r="D166" s="7" t="s">
        <x:v>526</x:v>
      </x:c>
      <x:c r="E166" s="6" t="s">
        <x:v>26</x:v>
      </x:c>
      <x:c r="F166" s="6" t="s">
        <x:v>45</x:v>
      </x:c>
      <x:c r="G166" s="7" t="s">
        <x:v>499</x:v>
      </x:c>
      <x:c r="H166" s="8" t="s">
        <x:v>26</x:v>
      </x:c>
      <x:c r="I166" s="8" t="s">
        <x:v>45</x:v>
      </x:c>
      <x:c r="J166" s="8" t="s">
        <x:v>47</x:v>
      </x:c>
      <x:c r="K166" s="9" t="s">
        <x:v>527</x:v>
      </x:c>
      <x:c r="L166" s="8" t="str">
        <x:v>FALSE</x:v>
      </x:c>
      <x:c r="M166" s="8" t="str">
        <x:v>GPT-5.6</x:v>
      </x:c>
      <x:c r="N166" s="10" t="n">
        <x:f aca="0">IF(E166=H166,1,0)</x:f>
        <x:v>1</x:v>
      </x:c>
      <x:c r="O166" s="10" t="n">
        <x:f aca="0">IF(F166=I166,1,0)</x:f>
        <x:v>1</x:v>
      </x:c>
    </x:row>
    <x:row r="167" ht="46.25" hidden="0">
      <x:c r="A167" s="6" t="n">
        <x:v>166</x:v>
      </x:c>
      <x:c r="B167" s="6" t="n">
        <x:v>570108</x:v>
      </x:c>
      <x:c r="C167" s="6" t="s">
        <x:v>528</x:v>
      </x:c>
      <x:c r="D167" s="7" t="s">
        <x:v>529</x:v>
      </x:c>
      <x:c r="E167" s="6" t="s">
        <x:v>26</x:v>
      </x:c>
      <x:c r="F167" s="6" t="s">
        <x:v>45</x:v>
      </x:c>
      <x:c r="G167" s="7" t="s">
        <x:v>499</x:v>
      </x:c>
      <x:c r="H167" s="8" t="str">
        <x:v>delivery_failed</x:v>
      </x:c>
      <x:c r="I167" s="8" t="str">
        <x:v>escalate</x:v>
      </x:c>
      <x:c r="J167" s="8" t="str">
        <x:v>HIGH</x:v>
      </x:c>
      <x:c r="K167" s="9" t="str">
        <x:v>Out-for-delivery failures repeated twice, then returned to distribution center, over a week overdue</x:v>
      </x:c>
      <x:c r="L167" s="8" t="str">
        <x:v>FALSE</x:v>
      </x:c>
      <x:c r="M167" s="8" t="str">
        <x:v>GPT-5.6</x:v>
      </x:c>
      <x:c r="N167" s="10" t="n">
        <x:f aca="0">IF(E167=H167,1,0)</x:f>
        <x:v>0</x:v>
      </x:c>
      <x:c r="O167" s="10" t="n">
        <x:f aca="0">IF(F167=I167,1,0)</x:f>
        <x:v>0</x:v>
      </x:c>
    </x:row>
    <x:row r="168" ht="23.850000381469727" hidden="0">
      <x:c r="A168" s="6" t="n">
        <x:v>167</x:v>
      </x:c>
      <x:c r="B168" s="6" t="n">
        <x:v>726116</x:v>
      </x:c>
      <x:c r="C168" s="6" t="s">
        <x:v>530</x:v>
      </x:c>
      <x:c r="D168" s="7" t="s">
        <x:v>531</x:v>
      </x:c>
      <x:c r="E168" s="6" t="s">
        <x:v>26</x:v>
      </x:c>
      <x:c r="F168" s="6" t="s">
        <x:v>45</x:v>
      </x:c>
      <x:c r="G168" s="7" t="s">
        <x:v>499</x:v>
      </x:c>
      <x:c r="H168" s="8" t="s">
        <x:v>26</x:v>
      </x:c>
      <x:c r="I168" s="8" t="s">
        <x:v>58</x:v>
      </x:c>
      <x:c r="J168" s="8" t="s">
        <x:v>47</x:v>
      </x:c>
      <x:c r="K168" s="9" t="s">
        <x:v>532</x:v>
      </x:c>
      <x:c r="L168" s="8" t="str">
        <x:v>FALSE</x:v>
      </x:c>
      <x:c r="M168" s="8" t="str">
        <x:v>GPT-5.6</x:v>
      </x:c>
      <x:c r="N168" s="10" t="n">
        <x:f aca="0">IF(E168=H168,1,0)</x:f>
        <x:v>1</x:v>
      </x:c>
      <x:c r="O168" s="10" t="n">
        <x:f aca="0">IF(F168=I168,1,0)</x:f>
        <x:v>0</x:v>
      </x:c>
    </x:row>
    <x:row r="169" ht="23.850000381469727" hidden="0">
      <x:c r="A169" s="6" t="n">
        <x:v>168</x:v>
      </x:c>
      <x:c r="B169" s="6" t="n">
        <x:v>37616</x:v>
      </x:c>
      <x:c r="C169" s="6" t="s">
        <x:v>533</x:v>
      </x:c>
      <x:c r="D169" s="7" t="s">
        <x:v>534</x:v>
      </x:c>
      <x:c r="E169" s="6" t="s">
        <x:v>26</x:v>
      </x:c>
      <x:c r="F169" s="6" t="s">
        <x:v>45</x:v>
      </x:c>
      <x:c r="G169" s="7" t="s">
        <x:v>499</x:v>
      </x:c>
      <x:c r="H169" s="8" t="s">
        <x:v>26</x:v>
      </x:c>
      <x:c r="I169" s="8" t="s">
        <x:v>58</x:v>
      </x:c>
      <x:c r="J169" s="8" t="s">
        <x:v>51</x:v>
      </x:c>
      <x:c r="K169" s="9" t="s">
        <x:v>535</x:v>
      </x:c>
      <x:c r="L169" s="8" t="str">
        <x:v>FALSE</x:v>
      </x:c>
      <x:c r="M169" s="8" t="str">
        <x:v>claude_draft</x:v>
      </x:c>
      <x:c r="N169" s="10" t="n">
        <x:f aca="0">IF(E169=H169,1,0)</x:f>
        <x:v>1</x:v>
      </x:c>
      <x:c r="O169" s="10" t="n">
        <x:f aca="0">IF(F169=I169,1,0)</x:f>
        <x:v>0</x:v>
      </x:c>
    </x:row>
    <x:row r="170" ht="35.04999923706055" hidden="0">
      <x:c r="A170" s="6" t="n">
        <x:v>169</x:v>
      </x:c>
      <x:c r="B170" s="6" t="n">
        <x:v>756311</x:v>
      </x:c>
      <x:c r="C170" s="6" t="s">
        <x:v>536</x:v>
      </x:c>
      <x:c r="D170" s="7" t="s">
        <x:v>537</x:v>
      </x:c>
      <x:c r="E170" s="6" t="s">
        <x:v>26</x:v>
      </x:c>
      <x:c r="F170" s="6" t="s">
        <x:v>45</x:v>
      </x:c>
      <x:c r="G170" s="7" t="s">
        <x:v>499</x:v>
      </x:c>
      <x:c r="H170" s="8" t="s">
        <x:v>26</x:v>
      </x:c>
      <x:c r="I170" s="8" t="s">
        <x:v>45</x:v>
      </x:c>
      <x:c r="J170" s="8" t="s">
        <x:v>51</x:v>
      </x:c>
      <x:c r="K170" s="9" t="s">
        <x:v>527</x:v>
      </x:c>
      <x:c r="L170" s="8" t="str">
        <x:v>FALSE</x:v>
      </x:c>
      <x:c r="M170" s="8" t="str">
        <x:v>claude_draft</x:v>
      </x:c>
      <x:c r="N170" s="10" t="n">
        <x:f aca="0">IF(E170=H170,1,0)</x:f>
        <x:v>1</x:v>
      </x:c>
      <x:c r="O170" s="10" t="n">
        <x:f aca="0">IF(F170=I170,1,0)</x:f>
        <x:v>1</x:v>
      </x:c>
    </x:row>
    <x:row r="171" ht="35.04999923706055" hidden="0">
      <x:c r="A171" s="6" t="n">
        <x:v>170</x:v>
      </x:c>
      <x:c r="B171" s="6" t="n">
        <x:v>695142</x:v>
      </x:c>
      <x:c r="C171" s="6" t="s">
        <x:v>538</x:v>
      </x:c>
      <x:c r="D171" s="7" t="s">
        <x:v>539</x:v>
      </x:c>
      <x:c r="E171" s="6" t="s">
        <x:v>26</x:v>
      </x:c>
      <x:c r="F171" s="6" t="s">
        <x:v>45</x:v>
      </x:c>
      <x:c r="G171" s="7" t="s">
        <x:v>499</x:v>
      </x:c>
      <x:c r="H171" s="8" t="s">
        <x:v>26</x:v>
      </x:c>
      <x:c r="I171" s="8" t="s">
        <x:v>58</x:v>
      </x:c>
      <x:c r="J171" s="8" t="s">
        <x:v>51</x:v>
      </x:c>
      <x:c r="K171" s="9" t="s">
        <x:v>540</x:v>
      </x:c>
      <x:c r="L171" s="8" t="str">
        <x:v>FALSE</x:v>
      </x:c>
      <x:c r="M171" s="8" t="str">
        <x:v>claude_draft</x:v>
      </x:c>
      <x:c r="N171" s="10" t="n">
        <x:f aca="0">IF(E171=H171,1,0)</x:f>
        <x:v>1</x:v>
      </x:c>
      <x:c r="O171" s="10" t="n">
        <x:f aca="0">IF(F171=I171,1,0)</x:f>
        <x:v>0</x:v>
      </x:c>
    </x:row>
    <x:row r="172" ht="23.850000381469727" hidden="0">
      <x:c r="A172" s="6" t="n">
        <x:v>171</x:v>
      </x:c>
      <x:c r="B172" s="6" t="n">
        <x:v>419184</x:v>
      </x:c>
      <x:c r="C172" s="6" t="s">
        <x:v>541</x:v>
      </x:c>
      <x:c r="D172" s="7" t="s">
        <x:v>542</x:v>
      </x:c>
      <x:c r="E172" s="6" t="s">
        <x:v>26</x:v>
      </x:c>
      <x:c r="F172" s="6" t="s">
        <x:v>45</x:v>
      </x:c>
      <x:c r="G172" s="7" t="s">
        <x:v>499</x:v>
      </x:c>
      <x:c r="H172" s="8" t="s">
        <x:v>27</x:v>
      </x:c>
      <x:c r="I172" s="8" t="s">
        <x:v>45</x:v>
      </x:c>
      <x:c r="J172" s="8" t="s">
        <x:v>51</x:v>
      </x:c>
      <x:c r="K172" s="9" t="s">
        <x:v>543</x:v>
      </x:c>
      <x:c r="L172" s="8" t="str">
        <x:v>FALSE</x:v>
      </x:c>
      <x:c r="M172" s="8" t="str">
        <x:v>claude_draft</x:v>
      </x:c>
      <x:c r="N172" s="10" t="n">
        <x:f aca="0">IF(E172=H172,1,0)</x:f>
        <x:v>0</x:v>
      </x:c>
      <x:c r="O172" s="10" t="n">
        <x:f aca="0">IF(F172=I172,1,0)</x:f>
        <x:v>1</x:v>
      </x:c>
    </x:row>
    <x:row r="173" ht="35.04999923706055" hidden="0">
      <x:c r="A173" s="6" t="n">
        <x:v>172</x:v>
      </x:c>
      <x:c r="B173" s="6" t="n">
        <x:v>438744</x:v>
      </x:c>
      <x:c r="C173" s="6" t="s">
        <x:v>544</x:v>
      </x:c>
      <x:c r="D173" s="7" t="s">
        <x:v>545</x:v>
      </x:c>
      <x:c r="E173" s="6" t="s">
        <x:v>26</x:v>
      </x:c>
      <x:c r="F173" s="6" t="s">
        <x:v>58</x:v>
      </x:c>
      <x:c r="G173" s="7" t="s">
        <x:v>517</x:v>
      </x:c>
      <x:c r="H173" s="8" t="s">
        <x:v>26</x:v>
      </x:c>
      <x:c r="I173" s="8" t="s">
        <x:v>58</x:v>
      </x:c>
      <x:c r="J173" s="8" t="s">
        <x:v>51</x:v>
      </x:c>
      <x:c r="K173" s="9" t="s">
        <x:v>546</x:v>
      </x:c>
      <x:c r="L173" s="8" t="str">
        <x:v>FALSE</x:v>
      </x:c>
      <x:c r="M173" s="8" t="str">
        <x:v>claude_draft</x:v>
      </x:c>
      <x:c r="N173" s="10" t="n">
        <x:f aca="0">IF(E173=H173,1,0)</x:f>
        <x:v>1</x:v>
      </x:c>
      <x:c r="O173" s="10" t="n">
        <x:f aca="0">IF(F173=I173,1,0)</x:f>
        <x:v>1</x:v>
      </x:c>
    </x:row>
    <x:row r="174" ht="35.04999923706055" hidden="0">
      <x:c r="A174" s="6" t="n">
        <x:v>173</x:v>
      </x:c>
      <x:c r="B174" s="6" t="n">
        <x:v>179276</x:v>
      </x:c>
      <x:c r="C174" s="6" t="s">
        <x:v>547</x:v>
      </x:c>
      <x:c r="D174" s="7" t="s">
        <x:v>548</x:v>
      </x:c>
      <x:c r="E174" s="6" t="s">
        <x:v>26</x:v>
      </x:c>
      <x:c r="F174" s="6" t="s">
        <x:v>45</x:v>
      </x:c>
      <x:c r="G174" s="7" t="s">
        <x:v>499</x:v>
      </x:c>
      <x:c r="H174" s="8" t="s">
        <x:v>26</x:v>
      </x:c>
      <x:c r="I174" s="8" t="s">
        <x:v>58</x:v>
      </x:c>
      <x:c r="J174" s="8" t="s">
        <x:v>47</x:v>
      </x:c>
      <x:c r="K174" s="9" t="s">
        <x:v>549</x:v>
      </x:c>
      <x:c r="L174" s="8" t="str">
        <x:v>FALSE</x:v>
      </x:c>
      <x:c r="M174" s="8" t="str">
        <x:v>GPT-5.6</x:v>
      </x:c>
      <x:c r="N174" s="10" t="n">
        <x:f aca="0">IF(E174=H174,1,0)</x:f>
        <x:v>1</x:v>
      </x:c>
      <x:c r="O174" s="10" t="n">
        <x:f aca="0">IF(F174=I174,1,0)</x:f>
        <x:v>0</x:v>
      </x:c>
    </x:row>
    <x:row r="175" ht="35.04999923706055" hidden="0">
      <x:c r="A175" s="6" t="n">
        <x:v>174</x:v>
      </x:c>
      <x:c r="B175" s="6" t="n">
        <x:v>224943</x:v>
      </x:c>
      <x:c r="C175" s="6" t="s">
        <x:v>550</x:v>
      </x:c>
      <x:c r="D175" s="7" t="s">
        <x:v>551</x:v>
      </x:c>
      <x:c r="E175" s="6" t="s">
        <x:v>26</x:v>
      </x:c>
      <x:c r="F175" s="6" t="s">
        <x:v>45</x:v>
      </x:c>
      <x:c r="G175" s="7" t="s">
        <x:v>499</x:v>
      </x:c>
      <x:c r="H175" s="8" t="s">
        <x:v>27</x:v>
      </x:c>
      <x:c r="I175" s="8" t="s">
        <x:v>45</x:v>
      </x:c>
      <x:c r="J175" s="8" t="s">
        <x:v>100</x:v>
      </x:c>
      <x:c r="K175" s="9" t="s">
        <x:v>552</x:v>
      </x:c>
      <x:c r="L175" s="8" t="str">
        <x:v>FALSE</x:v>
      </x:c>
      <x:c r="M175" s="8" t="str">
        <x:v>GPT-5.6</x:v>
      </x:c>
      <x:c r="N175" s="10" t="n">
        <x:f aca="0">IF(E175=H175,1,0)</x:f>
        <x:v>0</x:v>
      </x:c>
      <x:c r="O175" s="10" t="n">
        <x:f aca="0">IF(F175=I175,1,0)</x:f>
        <x:v>1</x:v>
      </x:c>
    </x:row>
    <x:row r="176" ht="35.04999923706055" hidden="0">
      <x:c r="A176" s="6" t="n">
        <x:v>175</x:v>
      </x:c>
      <x:c r="B176" s="6" t="n">
        <x:v>349242</x:v>
      </x:c>
      <x:c r="C176" s="6" t="s">
        <x:v>553</x:v>
      </x:c>
      <x:c r="D176" s="7" t="s">
        <x:v>554</x:v>
      </x:c>
      <x:c r="E176" s="6" t="s">
        <x:v>26</x:v>
      </x:c>
      <x:c r="F176" s="6" t="s">
        <x:v>45</x:v>
      </x:c>
      <x:c r="G176" s="7" t="s">
        <x:v>499</x:v>
      </x:c>
      <x:c r="H176" s="8" t="s">
        <x:v>26</x:v>
      </x:c>
      <x:c r="I176" s="8" t="s">
        <x:v>45</x:v>
      </x:c>
      <x:c r="J176" s="8" t="s">
        <x:v>47</x:v>
      </x:c>
      <x:c r="K176" s="9" t="s">
        <x:v>555</x:v>
      </x:c>
      <x:c r="L176" s="8" t="str">
        <x:v>FALSE</x:v>
      </x:c>
      <x:c r="M176" s="8" t="str">
        <x:v>GPT-5.6</x:v>
      </x:c>
      <x:c r="N176" s="10" t="n">
        <x:f aca="0">IF(E176=H176,1,0)</x:f>
        <x:v>1</x:v>
      </x:c>
      <x:c r="O176" s="10" t="n">
        <x:f aca="0">IF(F176=I176,1,0)</x:f>
        <x:v>1</x:v>
      </x:c>
    </x:row>
    <x:row r="177" ht="46.25" hidden="0">
      <x:c r="A177" s="6" t="n">
        <x:v>176</x:v>
      </x:c>
      <x:c r="B177" s="6" t="n">
        <x:v>549359</x:v>
      </x:c>
      <x:c r="C177" s="6" t="s">
        <x:v>556</x:v>
      </x:c>
      <x:c r="D177" s="7" t="s">
        <x:v>557</x:v>
      </x:c>
      <x:c r="E177" s="6" t="s">
        <x:v>26</x:v>
      </x:c>
      <x:c r="F177" s="6" t="s">
        <x:v>45</x:v>
      </x:c>
      <x:c r="G177" s="7" t="s">
        <x:v>499</x:v>
      </x:c>
      <x:c r="H177" s="8" t="s">
        <x:v>21</x:v>
      </x:c>
      <x:c r="I177" s="8" t="s">
        <x:v>58</x:v>
      </x:c>
      <x:c r="J177" s="8" t="s">
        <x:v>47</x:v>
      </x:c>
      <x:c r="K177" s="9" t="s">
        <x:v>558</x:v>
      </x:c>
      <x:c r="L177" s="8" t="str">
        <x:v>FALSE</x:v>
      </x:c>
      <x:c r="M177" s="8" t="str">
        <x:v>GPT-5.6</x:v>
      </x:c>
      <x:c r="N177" s="10" t="n">
        <x:f aca="0">IF(E177=H177,1,0)</x:f>
        <x:v>0</x:v>
      </x:c>
      <x:c r="O177" s="10" t="n">
        <x:f aca="0">IF(F177=I177,1,0)</x:f>
        <x:v>0</x:v>
      </x:c>
    </x:row>
    <x:row r="178" ht="46.25" hidden="0">
      <x:c r="A178" s="6" t="n">
        <x:v>177</x:v>
      </x:c>
      <x:c r="B178" s="6" t="n">
        <x:v>631601</x:v>
      </x:c>
      <x:c r="C178" s="6" t="s">
        <x:v>559</x:v>
      </x:c>
      <x:c r="D178" s="7" t="s">
        <x:v>560</x:v>
      </x:c>
      <x:c r="E178" s="6" t="s">
        <x:v>26</x:v>
      </x:c>
      <x:c r="F178" s="6" t="s">
        <x:v>45</x:v>
      </x:c>
      <x:c r="G178" s="7" t="s">
        <x:v>499</x:v>
      </x:c>
      <x:c r="H178" s="8" t="s">
        <x:v>21</x:v>
      </x:c>
      <x:c r="I178" s="8" t="s">
        <x:v>45</x:v>
      </x:c>
      <x:c r="J178" s="8" t="s">
        <x:v>51</x:v>
      </x:c>
      <x:c r="K178" s="9" t="s">
        <x:v>561</x:v>
      </x:c>
      <x:c r="L178" s="8" t="str">
        <x:v>FALSE</x:v>
      </x:c>
      <x:c r="M178" s="8" t="str">
        <x:v>claude_draft</x:v>
      </x:c>
      <x:c r="N178" s="10" t="n">
        <x:f aca="0">IF(E178=H178,1,0)</x:f>
        <x:v>0</x:v>
      </x:c>
      <x:c r="O178" s="10" t="n">
        <x:f aca="0">IF(F178=I178,1,0)</x:f>
        <x:v>1</x:v>
      </x:c>
    </x:row>
    <x:row r="179" ht="35.04999923706055" hidden="0">
      <x:c r="A179" s="6" t="n">
        <x:v>178</x:v>
      </x:c>
      <x:c r="B179" s="6" t="n">
        <x:v>487736</x:v>
      </x:c>
      <x:c r="C179" s="6" t="s">
        <x:v>562</x:v>
      </x:c>
      <x:c r="D179" s="7" t="s">
        <x:v>563</x:v>
      </x:c>
      <x:c r="E179" s="6" t="s">
        <x:v>26</x:v>
      </x:c>
      <x:c r="F179" s="6" t="s">
        <x:v>45</x:v>
      </x:c>
      <x:c r="G179" s="7" t="s">
        <x:v>499</x:v>
      </x:c>
      <x:c r="H179" s="8" t="s">
        <x:v>21</x:v>
      </x:c>
      <x:c r="I179" s="8" t="s">
        <x:v>45</x:v>
      </x:c>
      <x:c r="J179" s="8" t="s">
        <x:v>51</x:v>
      </x:c>
      <x:c r="K179" s="9" t="s">
        <x:v>564</x:v>
      </x:c>
      <x:c r="L179" s="8" t="str">
        <x:v>FALSE</x:v>
      </x:c>
      <x:c r="M179" s="8" t="str">
        <x:v>claude_draft</x:v>
      </x:c>
      <x:c r="N179" s="10" t="n">
        <x:f aca="0">IF(E179=H179,1,0)</x:f>
        <x:v>0</x:v>
      </x:c>
      <x:c r="O179" s="10" t="n">
        <x:f aca="0">IF(F179=I179,1,0)</x:f>
        <x:v>1</x:v>
      </x:c>
    </x:row>
    <x:row r="180" ht="35.04999923706055" hidden="0">
      <x:c r="A180" s="6" t="n">
        <x:v>179</x:v>
      </x:c>
      <x:c r="B180" s="6" t="n">
        <x:v>253380</x:v>
      </x:c>
      <x:c r="C180" s="6" t="s">
        <x:v>565</x:v>
      </x:c>
      <x:c r="D180" s="7" t="s">
        <x:v>566</x:v>
      </x:c>
      <x:c r="E180" s="6" t="s">
        <x:v>26</x:v>
      </x:c>
      <x:c r="F180" s="6" t="s">
        <x:v>45</x:v>
      </x:c>
      <x:c r="G180" s="7" t="s">
        <x:v>499</x:v>
      </x:c>
      <x:c r="H180" s="8" t="s">
        <x:v>26</x:v>
      </x:c>
      <x:c r="I180" s="8" t="s">
        <x:v>45</x:v>
      </x:c>
      <x:c r="J180" s="8" t="s">
        <x:v>51</x:v>
      </x:c>
      <x:c r="K180" s="9" t="s">
        <x:v>567</x:v>
      </x:c>
      <x:c r="L180" s="8" t="str">
        <x:v>FALSE</x:v>
      </x:c>
      <x:c r="M180" s="8" t="str">
        <x:v>claude_draft</x:v>
      </x:c>
      <x:c r="N180" s="10" t="n">
        <x:f aca="0">IF(E180=H180,1,0)</x:f>
        <x:v>1</x:v>
      </x:c>
      <x:c r="O180" s="10" t="n">
        <x:f aca="0">IF(F180=I180,1,0)</x:f>
        <x:v>1</x:v>
      </x:c>
    </x:row>
    <x:row r="181" ht="15" hidden="0">
      <x:c r="A181" s="6" t="n">
        <x:v>180</x:v>
      </x:c>
      <x:c r="B181" s="6" t="n">
        <x:v>619280</x:v>
      </x:c>
      <x:c r="C181" s="6" t="s">
        <x:v>568</x:v>
      </x:c>
      <x:c r="D181" s="7" t="s">
        <x:v>569</x:v>
      </x:c>
      <x:c r="E181" s="6" t="s">
        <x:v>26</x:v>
      </x:c>
      <x:c r="F181" s="6" t="s">
        <x:v>45</x:v>
      </x:c>
      <x:c r="G181" s="7" t="s">
        <x:v>499</x:v>
      </x:c>
      <x:c r="H181" s="8" t="s">
        <x:v>26</x:v>
      </x:c>
      <x:c r="I181" s="8" t="s">
        <x:v>45</x:v>
      </x:c>
      <x:c r="J181" s="8" t="s">
        <x:v>51</x:v>
      </x:c>
      <x:c r="K181" s="9" t="s">
        <x:v>570</x:v>
      </x:c>
      <x:c r="L181" s="8" t="str">
        <x:v>FALSE</x:v>
      </x:c>
      <x:c r="M181" s="8" t="str">
        <x:v>claude_draft</x:v>
      </x:c>
      <x:c r="N181" s="10" t="n">
        <x:f aca="0">IF(E181=H181,1,0)</x:f>
        <x:v>1</x:v>
      </x:c>
      <x:c r="O181" s="10" t="n">
        <x:f aca="0">IF(F181=I181,1,0)</x:f>
        <x:v>1</x:v>
      </x:c>
    </x:row>
    <x:row r="182" ht="35.04999923706055" hidden="0">
      <x:c r="A182" s="6" t="n">
        <x:v>181</x:v>
      </x:c>
      <x:c r="B182" s="6" t="n">
        <x:v>757133</x:v>
      </x:c>
      <x:c r="C182" s="6" t="s">
        <x:v>571</x:v>
      </x:c>
      <x:c r="D182" s="7" t="s">
        <x:v>572</x:v>
      </x:c>
      <x:c r="E182" s="6" t="s">
        <x:v>26</x:v>
      </x:c>
      <x:c r="F182" s="6" t="s">
        <x:v>45</x:v>
      </x:c>
      <x:c r="G182" s="7" t="s">
        <x:v>499</x:v>
      </x:c>
      <x:c r="H182" s="8" t="s">
        <x:v>26</x:v>
      </x:c>
      <x:c r="I182" s="8" t="s">
        <x:v>58</x:v>
      </x:c>
      <x:c r="J182" s="8" t="s">
        <x:v>51</x:v>
      </x:c>
      <x:c r="K182" s="9" t="s">
        <x:v>573</x:v>
      </x:c>
      <x:c r="L182" s="8" t="str">
        <x:v>FALSE</x:v>
      </x:c>
      <x:c r="M182" s="8" t="str">
        <x:v>claude_draft</x:v>
      </x:c>
      <x:c r="N182" s="10" t="n">
        <x:f aca="0">IF(E182=H182,1,0)</x:f>
        <x:v>1</x:v>
      </x:c>
      <x:c r="O182" s="10" t="n">
        <x:f aca="0">IF(F182=I182,1,0)</x:f>
        <x:v>0</x:v>
      </x:c>
    </x:row>
    <x:row r="183" ht="23.850000381469727" hidden="0">
      <x:c r="A183" s="6" t="n">
        <x:v>182</x:v>
      </x:c>
      <x:c r="B183" s="6" t="n">
        <x:v>407890</x:v>
      </x:c>
      <x:c r="C183" s="6" t="s">
        <x:v>574</x:v>
      </x:c>
      <x:c r="D183" s="7" t="s">
        <x:v>575</x:v>
      </x:c>
      <x:c r="E183" s="6" t="s">
        <x:v>26</x:v>
      </x:c>
      <x:c r="F183" s="6" t="s">
        <x:v>45</x:v>
      </x:c>
      <x:c r="G183" s="7" t="s">
        <x:v>499</x:v>
      </x:c>
      <x:c r="H183" s="8" t="s">
        <x:v>26</x:v>
      </x:c>
      <x:c r="I183" s="8" t="s">
        <x:v>58</x:v>
      </x:c>
      <x:c r="J183" s="8" t="s">
        <x:v>51</x:v>
      </x:c>
      <x:c r="K183" s="9" t="s">
        <x:v>576</x:v>
      </x:c>
      <x:c r="L183" s="8" t="str">
        <x:v>FALSE</x:v>
      </x:c>
      <x:c r="M183" s="8" t="str">
        <x:v>claude_draft</x:v>
      </x:c>
      <x:c r="N183" s="10" t="n">
        <x:f aca="0">IF(E183=H183,1,0)</x:f>
        <x:v>1</x:v>
      </x:c>
      <x:c r="O183" s="10" t="n">
        <x:f aca="0">IF(F183=I183,1,0)</x:f>
        <x:v>0</x:v>
      </x:c>
    </x:row>
    <x:row r="184" ht="23.850000381469727" hidden="0">
      <x:c r="A184" s="6" t="n">
        <x:v>183</x:v>
      </x:c>
      <x:c r="B184" s="6" t="n">
        <x:v>330157</x:v>
      </x:c>
      <x:c r="C184" s="6" t="s">
        <x:v>577</x:v>
      </x:c>
      <x:c r="D184" s="7" t="s">
        <x:v>578</x:v>
      </x:c>
      <x:c r="E184" s="6" t="s">
        <x:v>26</x:v>
      </x:c>
      <x:c r="F184" s="6" t="s">
        <x:v>45</x:v>
      </x:c>
      <x:c r="G184" s="7" t="s">
        <x:v>499</x:v>
      </x:c>
      <x:c r="H184" s="8" t="s">
        <x:v>21</x:v>
      </x:c>
      <x:c r="I184" s="8" t="s">
        <x:v>45</x:v>
      </x:c>
      <x:c r="J184" s="8" t="s">
        <x:v>51</x:v>
      </x:c>
      <x:c r="K184" s="9" t="s">
        <x:v>579</x:v>
      </x:c>
      <x:c r="L184" s="8" t="str">
        <x:v>FALSE</x:v>
      </x:c>
      <x:c r="M184" s="8" t="str">
        <x:v>claude_draft</x:v>
      </x:c>
      <x:c r="N184" s="10" t="n">
        <x:f aca="0">IF(E184=H184,1,0)</x:f>
        <x:v>0</x:v>
      </x:c>
      <x:c r="O184" s="10" t="n">
        <x:f aca="0">IF(F184=I184,1,0)</x:f>
        <x:v>1</x:v>
      </x:c>
    </x:row>
    <x:row r="185" ht="46.25" hidden="0">
      <x:c r="A185" s="6" t="n">
        <x:v>184</x:v>
      </x:c>
      <x:c r="B185" s="6" t="n">
        <x:v>86126</x:v>
      </x:c>
      <x:c r="C185" s="6" t="s">
        <x:v>580</x:v>
      </x:c>
      <x:c r="D185" s="7" t="s">
        <x:v>581</x:v>
      </x:c>
      <x:c r="E185" s="6" t="s">
        <x:v>26</x:v>
      </x:c>
      <x:c r="F185" s="6" t="s">
        <x:v>45</x:v>
      </x:c>
      <x:c r="G185" s="7" t="s">
        <x:v>499</x:v>
      </x:c>
      <x:c r="H185" s="8" t="s">
        <x:v>21</x:v>
      </x:c>
      <x:c r="I185" s="8" t="s">
        <x:v>58</x:v>
      </x:c>
      <x:c r="J185" s="8" t="s">
        <x:v>47</x:v>
      </x:c>
      <x:c r="K185" s="9" t="s">
        <x:v>582</x:v>
      </x:c>
      <x:c r="L185" s="8" t="str">
        <x:v>FALSE</x:v>
      </x:c>
      <x:c r="M185" s="8" t="str">
        <x:v>GPT-5.6</x:v>
      </x:c>
      <x:c r="N185" s="10" t="n">
        <x:f aca="0">IF(E185=H185,1,0)</x:f>
        <x:v>0</x:v>
      </x:c>
      <x:c r="O185" s="10" t="n">
        <x:f aca="0">IF(F185=I185,1,0)</x:f>
        <x:v>0</x:v>
      </x:c>
    </x:row>
    <x:row r="186" ht="23.850000381469727" hidden="0">
      <x:c r="A186" s="6" t="n">
        <x:v>185</x:v>
      </x:c>
      <x:c r="B186" s="6" t="n">
        <x:v>124002</x:v>
      </x:c>
      <x:c r="C186" s="6" t="s">
        <x:v>583</x:v>
      </x:c>
      <x:c r="D186" s="7" t="s">
        <x:v>584</x:v>
      </x:c>
      <x:c r="E186" s="6" t="s">
        <x:v>26</x:v>
      </x:c>
      <x:c r="F186" s="6" t="s">
        <x:v>45</x:v>
      </x:c>
      <x:c r="G186" s="7" t="s">
        <x:v>499</x:v>
      </x:c>
      <x:c r="H186" s="8" t="s">
        <x:v>26</x:v>
      </x:c>
      <x:c r="I186" s="8" t="s">
        <x:v>58</x:v>
      </x:c>
      <x:c r="J186" s="8" t="s">
        <x:v>47</x:v>
      </x:c>
      <x:c r="K186" s="9" t="s">
        <x:v>585</x:v>
      </x:c>
      <x:c r="L186" s="8" t="str">
        <x:v>FALSE</x:v>
      </x:c>
      <x:c r="M186" s="8" t="str">
        <x:v>GPT-5.6</x:v>
      </x:c>
      <x:c r="N186" s="10" t="n">
        <x:f aca="0">IF(E186=H186,1,0)</x:f>
        <x:v>1</x:v>
      </x:c>
      <x:c r="O186" s="10" t="n">
        <x:f aca="0">IF(F186=I186,1,0)</x:f>
        <x:v>0</x:v>
      </x:c>
    </x:row>
    <x:row r="187" ht="35.04999923706055" hidden="0">
      <x:c r="A187" s="6" t="n">
        <x:v>186</x:v>
      </x:c>
      <x:c r="B187" s="6" t="n">
        <x:v>765779</x:v>
      </x:c>
      <x:c r="C187" s="6" t="s">
        <x:v>586</x:v>
      </x:c>
      <x:c r="D187" s="7" t="s">
        <x:v>587</x:v>
      </x:c>
      <x:c r="E187" s="6" t="s">
        <x:v>24</x:v>
      </x:c>
      <x:c r="F187" s="6" t="s">
        <x:v>58</x:v>
      </x:c>
      <x:c r="G187" s="7" t="s">
        <x:v>588</x:v>
      </x:c>
      <x:c r="H187" s="8" t="s">
        <x:v>24</x:v>
      </x:c>
      <x:c r="I187" s="8" t="s">
        <x:v>58</x:v>
      </x:c>
      <x:c r="J187" s="8" t="s">
        <x:v>47</x:v>
      </x:c>
      <x:c r="K187" s="9" t="s">
        <x:v>589</x:v>
      </x:c>
      <x:c r="L187" s="8" t="str">
        <x:v>FALSE</x:v>
      </x:c>
      <x:c r="M187" s="8" t="str">
        <x:v>GPT-5.6</x:v>
      </x:c>
      <x:c r="N187" s="10" t="n">
        <x:f aca="0">IF(E187=H187,1,0)</x:f>
        <x:v>1</x:v>
      </x:c>
      <x:c r="O187" s="10" t="n">
        <x:f aca="0">IF(F187=I187,1,0)</x:f>
        <x:v>1</x:v>
      </x:c>
    </x:row>
    <x:row r="188" ht="23.850000381469727" hidden="0">
      <x:c r="A188" s="6" t="n">
        <x:v>187</x:v>
      </x:c>
      <x:c r="B188" s="6" t="n">
        <x:v>417770</x:v>
      </x:c>
      <x:c r="C188" s="6" t="s">
        <x:v>590</x:v>
      </x:c>
      <x:c r="D188" s="7" t="s">
        <x:v>591</x:v>
      </x:c>
      <x:c r="E188" s="6" t="s">
        <x:v>24</x:v>
      </x:c>
      <x:c r="F188" s="6" t="s">
        <x:v>58</x:v>
      </x:c>
      <x:c r="G188" s="7" t="s">
        <x:v>588</x:v>
      </x:c>
      <x:c r="H188" s="8" t="s">
        <x:v>24</x:v>
      </x:c>
      <x:c r="I188" s="8" t="s">
        <x:v>58</x:v>
      </x:c>
      <x:c r="J188" s="8" t="s">
        <x:v>47</x:v>
      </x:c>
      <x:c r="K188" s="9" t="s">
        <x:v>592</x:v>
      </x:c>
      <x:c r="L188" s="8" t="str">
        <x:v>FALSE</x:v>
      </x:c>
      <x:c r="M188" s="8" t="str">
        <x:v>GPT-5.6</x:v>
      </x:c>
      <x:c r="N188" s="10" t="n">
        <x:f aca="0">IF(E188=H188,1,0)</x:f>
        <x:v>1</x:v>
      </x:c>
      <x:c r="O188" s="10" t="n">
        <x:f aca="0">IF(F188=I188,1,0)</x:f>
        <x:v>1</x:v>
      </x:c>
    </x:row>
    <x:row r="189" ht="57.45000076293945" hidden="0">
      <x:c r="A189" s="6" t="n">
        <x:v>188</x:v>
      </x:c>
      <x:c r="B189" s="6" t="n">
        <x:v>261265</x:v>
      </x:c>
      <x:c r="C189" s="6" t="s">
        <x:v>593</x:v>
      </x:c>
      <x:c r="D189" s="7" t="s">
        <x:v>594</x:v>
      </x:c>
      <x:c r="E189" s="6" t="s">
        <x:v>24</x:v>
      </x:c>
      <x:c r="F189" s="6" t="s">
        <x:v>58</x:v>
      </x:c>
      <x:c r="G189" s="7" t="s">
        <x:v>588</x:v>
      </x:c>
      <x:c r="H189" s="8" t="s">
        <x:v>21</x:v>
      </x:c>
      <x:c r="I189" s="8" t="s">
        <x:v>58</x:v>
      </x:c>
      <x:c r="J189" s="8" t="s">
        <x:v>100</x:v>
      </x:c>
      <x:c r="K189" s="9" t="s">
        <x:v>595</x:v>
      </x:c>
      <x:c r="L189" s="8" t="str">
        <x:v>FALSE</x:v>
      </x:c>
      <x:c r="M189" s="8" t="str">
        <x:v>GPT-5.6</x:v>
      </x:c>
      <x:c r="N189" s="10" t="n">
        <x:f aca="0">IF(E189=H189,1,0)</x:f>
        <x:v>0</x:v>
      </x:c>
      <x:c r="O189" s="10" t="n">
        <x:f aca="0">IF(F189=I189,1,0)</x:f>
        <x:v>1</x:v>
      </x:c>
    </x:row>
    <x:row r="190" ht="23.850000381469727" hidden="0">
      <x:c r="A190" s="6" t="n">
        <x:v>189</x:v>
      </x:c>
      <x:c r="B190" s="6" t="n">
        <x:v>253349</x:v>
      </x:c>
      <x:c r="C190" s="6" t="s">
        <x:v>596</x:v>
      </x:c>
      <x:c r="D190" s="7" t="s">
        <x:v>597</x:v>
      </x:c>
      <x:c r="E190" s="6" t="s">
        <x:v>24</x:v>
      </x:c>
      <x:c r="F190" s="6" t="s">
        <x:v>58</x:v>
      </x:c>
      <x:c r="G190" s="7" t="s">
        <x:v>588</x:v>
      </x:c>
      <x:c r="H190" s="8" t="s">
        <x:v>27</x:v>
      </x:c>
      <x:c r="I190" s="8" t="s">
        <x:v>58</x:v>
      </x:c>
      <x:c r="J190" s="8" t="s">
        <x:v>47</x:v>
      </x:c>
      <x:c r="K190" s="9" t="s">
        <x:v>598</x:v>
      </x:c>
      <x:c r="L190" s="8" t="str">
        <x:v>FALSE</x:v>
      </x:c>
      <x:c r="M190" s="8" t="str">
        <x:v>GPT-5.6</x:v>
      </x:c>
      <x:c r="N190" s="10" t="n">
        <x:f aca="0">IF(E190=H190,1,0)</x:f>
        <x:v>0</x:v>
      </x:c>
      <x:c r="O190" s="10" t="n">
        <x:f aca="0">IF(F190=I190,1,0)</x:f>
        <x:v>1</x:v>
      </x:c>
    </x:row>
    <x:row r="191" ht="23.850000381469727" hidden="0">
      <x:c r="A191" s="6" t="n">
        <x:v>190</x:v>
      </x:c>
      <x:c r="B191" s="6" t="n">
        <x:v>709044</x:v>
      </x:c>
      <x:c r="C191" s="6" t="s">
        <x:v>599</x:v>
      </x:c>
      <x:c r="D191" s="7" t="s">
        <x:v>600</x:v>
      </x:c>
      <x:c r="E191" s="6" t="s">
        <x:v>24</x:v>
      </x:c>
      <x:c r="F191" s="6" t="s">
        <x:v>58</x:v>
      </x:c>
      <x:c r="G191" s="7" t="s">
        <x:v>588</x:v>
      </x:c>
      <x:c r="H191" s="8" t="s">
        <x:v>24</x:v>
      </x:c>
      <x:c r="I191" s="8" t="s">
        <x:v>45</x:v>
      </x:c>
      <x:c r="J191" s="8" t="s">
        <x:v>51</x:v>
      </x:c>
      <x:c r="K191" s="9" t="s">
        <x:v>601</x:v>
      </x:c>
      <x:c r="L191" s="8" t="str">
        <x:v>FALSE</x:v>
      </x:c>
      <x:c r="M191" s="8" t="str">
        <x:v>claude_draft</x:v>
      </x:c>
      <x:c r="N191" s="10" t="n">
        <x:f aca="0">IF(E191=H191,1,0)</x:f>
        <x:v>1</x:v>
      </x:c>
      <x:c r="O191" s="10" t="n">
        <x:f aca="0">IF(F191=I191,1,0)</x:f>
        <x:v>0</x:v>
      </x:c>
    </x:row>
    <x:row r="192" ht="23.850000381469727" hidden="0">
      <x:c r="A192" s="6" t="n">
        <x:v>191</x:v>
      </x:c>
      <x:c r="B192" s="6" t="n">
        <x:v>49921</x:v>
      </x:c>
      <x:c r="C192" s="6" t="s">
        <x:v>602</x:v>
      </x:c>
      <x:c r="D192" s="7" t="s">
        <x:v>603</x:v>
      </x:c>
      <x:c r="E192" s="6" t="s">
        <x:v>24</x:v>
      </x:c>
      <x:c r="F192" s="6" t="s">
        <x:v>58</x:v>
      </x:c>
      <x:c r="G192" s="7" t="s">
        <x:v>588</x:v>
      </x:c>
      <x:c r="H192" s="8" t="s">
        <x:v>27</x:v>
      </x:c>
      <x:c r="I192" s="8" t="s">
        <x:v>45</x:v>
      </x:c>
      <x:c r="J192" s="8" t="s">
        <x:v>51</x:v>
      </x:c>
      <x:c r="K192" s="9" t="s">
        <x:v>604</x:v>
      </x:c>
      <x:c r="L192" s="8" t="str">
        <x:v>FALSE</x:v>
      </x:c>
      <x:c r="M192" s="8" t="str">
        <x:v>claude_draft</x:v>
      </x:c>
      <x:c r="N192" s="10" t="n">
        <x:f aca="0">IF(E192=H192,1,0)</x:f>
        <x:v>0</x:v>
      </x:c>
      <x:c r="O192" s="10" t="n">
        <x:f aca="0">IF(F192=I192,1,0)</x:f>
        <x:v>0</x:v>
      </x:c>
    </x:row>
    <x:row r="193" ht="35.04999923706055" hidden="0">
      <x:c r="A193" s="6" t="n">
        <x:v>192</x:v>
      </x:c>
      <x:c r="B193" s="6" t="n">
        <x:v>136840</x:v>
      </x:c>
      <x:c r="C193" s="6" t="s">
        <x:v>605</x:v>
      </x:c>
      <x:c r="D193" s="7" t="s">
        <x:v>606</x:v>
      </x:c>
      <x:c r="E193" s="6" t="s">
        <x:v>24</x:v>
      </x:c>
      <x:c r="F193" s="6" t="s">
        <x:v>58</x:v>
      </x:c>
      <x:c r="G193" s="7" t="s">
        <x:v>588</x:v>
      </x:c>
      <x:c r="H193" s="8" t="s">
        <x:v>27</x:v>
      </x:c>
      <x:c r="I193" s="8" t="s">
        <x:v>45</x:v>
      </x:c>
      <x:c r="J193" s="8" t="s">
        <x:v>47</x:v>
      </x:c>
      <x:c r="K193" s="9" t="s">
        <x:v>607</x:v>
      </x:c>
      <x:c r="L193" s="8" t="str">
        <x:v>FALSE</x:v>
      </x:c>
      <x:c r="M193" s="8" t="str">
        <x:v>GPT-5.6</x:v>
      </x:c>
      <x:c r="N193" s="10" t="n">
        <x:f aca="0">IF(E193=H193,1,0)</x:f>
        <x:v>0</x:v>
      </x:c>
      <x:c r="O193" s="10" t="n">
        <x:f aca="0">IF(F193=I193,1,0)</x:f>
        <x:v>0</x:v>
      </x:c>
    </x:row>
    <x:row r="194" ht="35.04999923706055" hidden="0">
      <x:c r="A194" s="6" t="n">
        <x:v>193</x:v>
      </x:c>
      <x:c r="B194" s="6" t="n">
        <x:v>776021</x:v>
      </x:c>
      <x:c r="C194" s="6" t="s">
        <x:v>608</x:v>
      </x:c>
      <x:c r="D194" s="7" t="s">
        <x:v>609</x:v>
      </x:c>
      <x:c r="E194" s="6" t="s">
        <x:v>24</x:v>
      </x:c>
      <x:c r="F194" s="6" t="s">
        <x:v>58</x:v>
      </x:c>
      <x:c r="G194" s="7" t="s">
        <x:v>588</x:v>
      </x:c>
      <x:c r="H194" s="8" t="s">
        <x:v>24</x:v>
      </x:c>
      <x:c r="I194" s="8" t="s">
        <x:v>58</x:v>
      </x:c>
      <x:c r="J194" s="8" t="s">
        <x:v>47</x:v>
      </x:c>
      <x:c r="K194" s="9" t="s">
        <x:v>610</x:v>
      </x:c>
      <x:c r="L194" s="8" t="str">
        <x:v>FALSE</x:v>
      </x:c>
      <x:c r="M194" s="8" t="str">
        <x:v>GPT-5.6</x:v>
      </x:c>
      <x:c r="N194" s="10" t="n">
        <x:f aca="0">IF(E194=H194,1,0)</x:f>
        <x:v>1</x:v>
      </x:c>
      <x:c r="O194" s="10" t="n">
        <x:f aca="0">IF(F194=I194,1,0)</x:f>
        <x:v>1</x:v>
      </x:c>
    </x:row>
    <x:row r="195" ht="23.850000381469727" hidden="0">
      <x:c r="A195" s="6" t="n">
        <x:v>194</x:v>
      </x:c>
      <x:c r="B195" s="6" t="n">
        <x:v>789043</x:v>
      </x:c>
      <x:c r="C195" s="6" t="s">
        <x:v>611</x:v>
      </x:c>
      <x:c r="D195" s="7" t="s">
        <x:v>612</x:v>
      </x:c>
      <x:c r="E195" s="6" t="s">
        <x:v>24</x:v>
      </x:c>
      <x:c r="F195" s="6" t="s">
        <x:v>58</x:v>
      </x:c>
      <x:c r="G195" s="7" t="s">
        <x:v>588</x:v>
      </x:c>
      <x:c r="H195" s="8" t="s">
        <x:v>27</x:v>
      </x:c>
      <x:c r="I195" s="8" t="s">
        <x:v>45</x:v>
      </x:c>
      <x:c r="J195" s="8" t="s">
        <x:v>100</x:v>
      </x:c>
      <x:c r="K195" s="9" t="s">
        <x:v>613</x:v>
      </x:c>
      <x:c r="L195" s="8" t="str">
        <x:v>TRUE</x:v>
      </x:c>
      <x:c r="M195" s="8" t="str">
        <x:v>claude_draft</x:v>
      </x:c>
      <x:c r="N195" s="10" t="n">
        <x:f aca="0">IF(E195=H195,1,0)</x:f>
        <x:v>0</x:v>
      </x:c>
      <x:c r="O195" s="10" t="n">
        <x:f aca="0">IF(F195=I195,1,0)</x:f>
        <x:v>0</x:v>
      </x:c>
    </x:row>
    <x:row r="196" ht="23.850000381469727" hidden="0">
      <x:c r="A196" s="6" t="n">
        <x:v>195</x:v>
      </x:c>
      <x:c r="B196" s="6" t="n">
        <x:v>277186</x:v>
      </x:c>
      <x:c r="C196" s="6" t="s">
        <x:v>614</x:v>
      </x:c>
      <x:c r="D196" s="7" t="s">
        <x:v>615</x:v>
      </x:c>
      <x:c r="E196" s="6" t="s">
        <x:v>24</x:v>
      </x:c>
      <x:c r="F196" s="6" t="s">
        <x:v>58</x:v>
      </x:c>
      <x:c r="G196" s="7" t="s">
        <x:v>588</x:v>
      </x:c>
      <x:c r="H196" s="8" t="s">
        <x:v>27</x:v>
      </x:c>
      <x:c r="I196" s="8" t="s">
        <x:v>45</x:v>
      </x:c>
      <x:c r="J196" s="8" t="s">
        <x:v>51</x:v>
      </x:c>
      <x:c r="K196" s="9" t="s">
        <x:v>616</x:v>
      </x:c>
      <x:c r="L196" s="8" t="str">
        <x:v>FALSE</x:v>
      </x:c>
      <x:c r="M196" s="8" t="str">
        <x:v>claude_draft</x:v>
      </x:c>
      <x:c r="N196" s="10" t="n">
        <x:f aca="0">IF(E196=H196,1,0)</x:f>
        <x:v>0</x:v>
      </x:c>
      <x:c r="O196" s="10" t="n">
        <x:f aca="0">IF(F196=I196,1,0)</x:f>
        <x:v>0</x:v>
      </x:c>
    </x:row>
    <x:row r="197" ht="35.04999923706055" hidden="0">
      <x:c r="A197" s="6" t="n">
        <x:v>196</x:v>
      </x:c>
      <x:c r="B197" s="6" t="n">
        <x:v>394023</x:v>
      </x:c>
      <x:c r="C197" s="6" t="s">
        <x:v>617</x:v>
      </x:c>
      <x:c r="D197" s="7" t="s">
        <x:v>618</x:v>
      </x:c>
      <x:c r="E197" s="6" t="s">
        <x:v>24</x:v>
      </x:c>
      <x:c r="F197" s="6" t="s">
        <x:v>58</x:v>
      </x:c>
      <x:c r="G197" s="7" t="s">
        <x:v>588</x:v>
      </x:c>
      <x:c r="H197" s="8" t="s">
        <x:v>24</x:v>
      </x:c>
      <x:c r="I197" s="8" t="s">
        <x:v>58</x:v>
      </x:c>
      <x:c r="J197" s="8" t="s">
        <x:v>47</x:v>
      </x:c>
      <x:c r="K197" s="9" t="s">
        <x:v>619</x:v>
      </x:c>
      <x:c r="L197" s="8" t="str">
        <x:v>FALSE</x:v>
      </x:c>
      <x:c r="M197" s="8" t="str">
        <x:v>GPT-5.6</x:v>
      </x:c>
      <x:c r="N197" s="10" t="n">
        <x:f aca="0">IF(E197=H197,1,0)</x:f>
        <x:v>1</x:v>
      </x:c>
      <x:c r="O197" s="10" t="n">
        <x:f aca="0">IF(F197=I197,1,0)</x:f>
        <x:v>1</x:v>
      </x:c>
    </x:row>
    <x:row r="198" ht="46.25" hidden="0">
      <x:c r="A198" s="6" t="n">
        <x:v>197</x:v>
      </x:c>
      <x:c r="B198" s="6" t="n">
        <x:v>531682</x:v>
      </x:c>
      <x:c r="C198" s="6" t="s">
        <x:v>620</x:v>
      </x:c>
      <x:c r="D198" s="7" t="s">
        <x:v>621</x:v>
      </x:c>
      <x:c r="E198" s="6" t="s">
        <x:v>24</x:v>
      </x:c>
      <x:c r="F198" s="6" t="s">
        <x:v>58</x:v>
      </x:c>
      <x:c r="G198" s="7" t="s">
        <x:v>588</x:v>
      </x:c>
      <x:c r="H198" s="8" t="s">
        <x:v>24</x:v>
      </x:c>
      <x:c r="I198" s="8" t="s">
        <x:v>45</x:v>
      </x:c>
      <x:c r="J198" s="8" t="s">
        <x:v>51</x:v>
      </x:c>
      <x:c r="K198" s="9" t="s">
        <x:v>622</x:v>
      </x:c>
      <x:c r="L198" s="8" t="str">
        <x:v>FALSE</x:v>
      </x:c>
      <x:c r="M198" s="8" t="str">
        <x:v>claude_draft</x:v>
      </x:c>
      <x:c r="N198" s="10" t="n">
        <x:f aca="0">IF(E198=H198,1,0)</x:f>
        <x:v>1</x:v>
      </x:c>
      <x:c r="O198" s="10" t="n">
        <x:f aca="0">IF(F198=I198,1,0)</x:f>
        <x:v>0</x:v>
      </x:c>
    </x:row>
    <x:row r="199" ht="35.04999923706055" hidden="0">
      <x:c r="A199" s="6" t="n">
        <x:v>198</x:v>
      </x:c>
      <x:c r="B199" s="6" t="n">
        <x:v>180520</x:v>
      </x:c>
      <x:c r="C199" s="6" t="s">
        <x:v>623</x:v>
      </x:c>
      <x:c r="D199" s="7" t="s">
        <x:v>624</x:v>
      </x:c>
      <x:c r="E199" s="6" t="s">
        <x:v>24</x:v>
      </x:c>
      <x:c r="F199" s="6" t="s">
        <x:v>58</x:v>
      </x:c>
      <x:c r="G199" s="7" t="s">
        <x:v>588</x:v>
      </x:c>
      <x:c r="H199" s="8" t="s">
        <x:v>26</x:v>
      </x:c>
      <x:c r="I199" s="8" t="s">
        <x:v>58</x:v>
      </x:c>
      <x:c r="J199" s="8" t="s">
        <x:v>51</x:v>
      </x:c>
      <x:c r="K199" s="9" t="s">
        <x:v>625</x:v>
      </x:c>
      <x:c r="L199" s="8" t="str">
        <x:v>FALSE</x:v>
      </x:c>
      <x:c r="M199" s="8" t="str">
        <x:v>claude_draft</x:v>
      </x:c>
      <x:c r="N199" s="10" t="n">
        <x:f aca="0">IF(E199=H199,1,0)</x:f>
        <x:v>0</x:v>
      </x:c>
      <x:c r="O199" s="10" t="n">
        <x:f aca="0">IF(F199=I199,1,0)</x:f>
        <x:v>1</x:v>
      </x:c>
    </x:row>
    <x:row r="200" ht="35.04999923706055" hidden="0">
      <x:c r="A200" s="6" t="n">
        <x:v>199</x:v>
      </x:c>
      <x:c r="B200" s="6" t="n">
        <x:v>557042</x:v>
      </x:c>
      <x:c r="C200" s="6" t="s">
        <x:v>626</x:v>
      </x:c>
      <x:c r="D200" s="7" t="s">
        <x:v>627</x:v>
      </x:c>
      <x:c r="E200" s="6" t="s">
        <x:v>24</x:v>
      </x:c>
      <x:c r="F200" s="6" t="s">
        <x:v>58</x:v>
      </x:c>
      <x:c r="G200" s="7" t="s">
        <x:v>588</x:v>
      </x:c>
      <x:c r="H200" s="8" t="s">
        <x:v>24</x:v>
      </x:c>
      <x:c r="I200" s="8" t="s">
        <x:v>45</x:v>
      </x:c>
      <x:c r="J200" s="8" t="s">
        <x:v>51</x:v>
      </x:c>
      <x:c r="K200" s="9" t="s">
        <x:v>628</x:v>
      </x:c>
      <x:c r="L200" s="8" t="str">
        <x:v>FALSE</x:v>
      </x:c>
      <x:c r="M200" s="8" t="str">
        <x:v>claude_draft</x:v>
      </x:c>
      <x:c r="N200" s="10" t="n">
        <x:f aca="0">IF(E200=H200,1,0)</x:f>
        <x:v>1</x:v>
      </x:c>
      <x:c r="O200" s="10" t="n">
        <x:f aca="0">IF(F200=I200,1,0)</x:f>
        <x:v>0</x:v>
      </x:c>
    </x:row>
    <x:row r="201" ht="23.850000381469727" hidden="0">
      <x:c r="A201" s="6" t="n">
        <x:v>200</x:v>
      </x:c>
      <x:c r="B201" s="6" t="n">
        <x:v>712477</x:v>
      </x:c>
      <x:c r="C201" s="6" t="s">
        <x:v>629</x:v>
      </x:c>
      <x:c r="D201" s="7" t="s">
        <x:v>630</x:v>
      </x:c>
      <x:c r="E201" s="6" t="s">
        <x:v>24</x:v>
      </x:c>
      <x:c r="F201" s="6" t="s">
        <x:v>58</x:v>
      </x:c>
      <x:c r="G201" s="7" t="s">
        <x:v>588</x:v>
      </x:c>
      <x:c r="H201" s="8" t="s">
        <x:v>24</x:v>
      </x:c>
      <x:c r="I201" s="8" t="s">
        <x:v>45</x:v>
      </x:c>
      <x:c r="J201" s="8" t="s">
        <x:v>51</x:v>
      </x:c>
      <x:c r="K201" s="9" t="s">
        <x:v>631</x:v>
      </x:c>
      <x:c r="L201" s="8" t="str">
        <x:v>FALSE</x:v>
      </x:c>
      <x:c r="M201" s="8" t="str">
        <x:v>claude_draft</x:v>
      </x:c>
      <x:c r="N201" s="10" t="n">
        <x:f aca="0">IF(E201=H201,1,0)</x:f>
        <x:v>1</x:v>
      </x:c>
      <x:c r="O201" s="10" t="n">
        <x:f aca="0">IF(F201=I201,1,0)</x:f>
        <x:v>0</x:v>
      </x:c>
    </x:row>
    <x:row r="202" ht="23.850000381469727" hidden="0">
      <x:c r="A202" s="6" t="n">
        <x:v>201</x:v>
      </x:c>
      <x:c r="B202" s="6" t="n">
        <x:v>149190</x:v>
      </x:c>
      <x:c r="C202" s="6" t="s">
        <x:v>632</x:v>
      </x:c>
      <x:c r="D202" s="7" t="s">
        <x:v>633</x:v>
      </x:c>
      <x:c r="E202" s="6" t="s">
        <x:v>24</x:v>
      </x:c>
      <x:c r="F202" s="6" t="s">
        <x:v>58</x:v>
      </x:c>
      <x:c r="G202" s="7" t="s">
        <x:v>588</x:v>
      </x:c>
      <x:c r="H202" s="8" t="s">
        <x:v>24</x:v>
      </x:c>
      <x:c r="I202" s="8" t="s">
        <x:v>58</x:v>
      </x:c>
      <x:c r="J202" s="8" t="s">
        <x:v>47</x:v>
      </x:c>
      <x:c r="K202" s="9" t="s">
        <x:v>634</x:v>
      </x:c>
      <x:c r="L202" s="8" t="str">
        <x:v>FALSE</x:v>
      </x:c>
      <x:c r="M202" s="8" t="str">
        <x:v>GPT-5.6</x:v>
      </x:c>
      <x:c r="N202" s="10" t="n">
        <x:f aca="0">IF(E202=H202,1,0)</x:f>
        <x:v>1</x:v>
      </x:c>
      <x:c r="O202" s="10" t="n">
        <x:f aca="0">IF(F202=I202,1,0)</x:f>
        <x:v>1</x:v>
      </x:c>
    </x:row>
    <x:row r="203" ht="23.850000381469727" hidden="0">
      <x:c r="A203" s="6" t="n">
        <x:v>202</x:v>
      </x:c>
      <x:c r="B203" s="6" t="n">
        <x:v>142980</x:v>
      </x:c>
      <x:c r="C203" s="6" t="s">
        <x:v>635</x:v>
      </x:c>
      <x:c r="D203" s="7" t="s">
        <x:v>636</x:v>
      </x:c>
      <x:c r="E203" s="6" t="s">
        <x:v>24</x:v>
      </x:c>
      <x:c r="F203" s="6" t="s">
        <x:v>58</x:v>
      </x:c>
      <x:c r="G203" s="7" t="s">
        <x:v>588</x:v>
      </x:c>
      <x:c r="H203" s="8" t="s">
        <x:v>24</x:v>
      </x:c>
      <x:c r="I203" s="8" t="s">
        <x:v>58</x:v>
      </x:c>
      <x:c r="J203" s="8" t="s">
        <x:v>47</x:v>
      </x:c>
      <x:c r="K203" s="9" t="s">
        <x:v>637</x:v>
      </x:c>
      <x:c r="L203" s="8" t="str">
        <x:v>FALSE</x:v>
      </x:c>
      <x:c r="M203" s="8" t="str">
        <x:v>GPT-5.6</x:v>
      </x:c>
      <x:c r="N203" s="10" t="n">
        <x:f aca="0">IF(E203=H203,1,0)</x:f>
        <x:v>1</x:v>
      </x:c>
      <x:c r="O203" s="10" t="n">
        <x:f aca="0">IF(F203=I203,1,0)</x:f>
        <x:v>1</x:v>
      </x:c>
    </x:row>
    <x:row r="204" ht="46.25" hidden="0">
      <x:c r="A204" s="6" t="n">
        <x:v>203</x:v>
      </x:c>
      <x:c r="B204" s="6" t="n">
        <x:v>590815</x:v>
      </x:c>
      <x:c r="C204" s="6" t="s">
        <x:v>638</x:v>
      </x:c>
      <x:c r="D204" s="7" t="s">
        <x:v>639</x:v>
      </x:c>
      <x:c r="E204" s="6" t="s">
        <x:v>24</x:v>
      </x:c>
      <x:c r="F204" s="6" t="s">
        <x:v>58</x:v>
      </x:c>
      <x:c r="G204" s="7" t="s">
        <x:v>588</x:v>
      </x:c>
      <x:c r="H204" s="8" t="str">
        <x:v>shipping_inquiry</x:v>
      </x:c>
      <x:c r="I204" s="8" t="str">
        <x:v>auto</x:v>
      </x:c>
      <x:c r="J204" s="8" t="str">
        <x:v>HIGH</x:v>
      </x:c>
      <x:c r="K204" s="9" t="str">
        <x:v>Explicit carrier/package-integrity feedback where the product was not damaged</x:v>
      </x:c>
      <x:c r="L204" s="8" t="str">
        <x:v>FALSE</x:v>
      </x:c>
      <x:c r="M204" s="8" t="str">
        <x:v>GPT-5.6</x:v>
      </x:c>
      <x:c r="N204" s="10" t="n">
        <x:f aca="0">IF(E204=H204,1,0)</x:f>
        <x:v>0</x:v>
      </x:c>
      <x:c r="O204" s="10" t="n">
        <x:f aca="0">IF(F204=I204,1,0)</x:f>
        <x:v>0</x:v>
      </x:c>
    </x:row>
    <x:row r="205" ht="35.04999923706055" hidden="0">
      <x:c r="A205" s="6" t="n">
        <x:v>204</x:v>
      </x:c>
      <x:c r="B205" s="6" t="n">
        <x:v>579061</x:v>
      </x:c>
      <x:c r="C205" s="6" t="s">
        <x:v>640</x:v>
      </x:c>
      <x:c r="D205" s="7" t="s">
        <x:v>641</x:v>
      </x:c>
      <x:c r="E205" s="6" t="s">
        <x:v>24</x:v>
      </x:c>
      <x:c r="F205" s="6" t="s">
        <x:v>58</x:v>
      </x:c>
      <x:c r="G205" s="7" t="s">
        <x:v>588</x:v>
      </x:c>
      <x:c r="H205" s="8" t="str">
        <x:v>shipping_inquiry</x:v>
      </x:c>
      <x:c r="I205" s="8" t="str">
        <x:v>auto</x:v>
      </x:c>
      <x:c r="J205" s="8" t="str">
        <x:v>MEDIUM</x:v>
      </x:c>
      <x:c r="K205" s="9" t="str">
        <x:v>Wet/soaked parcels with no confirmed product damage yet; delivery-handling feedback</x:v>
      </x:c>
      <x:c r="L205" s="8" t="str">
        <x:v>FALSE</x:v>
      </x:c>
      <x:c r="M205" s="8" t="str">
        <x:v>GPT-5.6</x:v>
      </x:c>
      <x:c r="N205" s="10" t="n">
        <x:f aca="0">IF(E205=H205,1,0)</x:f>
        <x:v>0</x:v>
      </x:c>
      <x:c r="O205" s="10" t="n">
        <x:f aca="0">IF(F205=I205,1,0)</x:f>
        <x:v>0</x:v>
      </x:c>
    </x:row>
    <x:row r="206" ht="23.850000381469727" hidden="0">
      <x:c r="A206" s="6" t="n">
        <x:v>205</x:v>
      </x:c>
      <x:c r="B206" s="6" t="n">
        <x:v>359207</x:v>
      </x:c>
      <x:c r="C206" s="6" t="s">
        <x:v>642</x:v>
      </x:c>
      <x:c r="D206" s="7" t="s">
        <x:v>643</x:v>
      </x:c>
      <x:c r="E206" s="6" t="s">
        <x:v>24</x:v>
      </x:c>
      <x:c r="F206" s="6" t="s">
        <x:v>58</x:v>
      </x:c>
      <x:c r="G206" s="7" t="s">
        <x:v>588</x:v>
      </x:c>
      <x:c r="H206" s="8" t="s">
        <x:v>24</x:v>
      </x:c>
      <x:c r="I206" s="8" t="s">
        <x:v>45</x:v>
      </x:c>
      <x:c r="J206" s="8" t="s">
        <x:v>47</x:v>
      </x:c>
      <x:c r="K206" s="9" t="s">
        <x:v>644</x:v>
      </x:c>
      <x:c r="L206" s="8" t="str">
        <x:v>FALSE</x:v>
      </x:c>
      <x:c r="M206" s="8" t="str">
        <x:v>GPT-5.6</x:v>
      </x:c>
      <x:c r="N206" s="10" t="n">
        <x:f aca="0">IF(E206=H206,1,0)</x:f>
        <x:v>1</x:v>
      </x:c>
      <x:c r="O206" s="10" t="n">
        <x:f aca="0">IF(F206=I206,1,0)</x:f>
        <x:v>0</x:v>
      </x:c>
    </x:row>
    <x:row r="207" ht="46.25" hidden="0">
      <x:c r="A207" s="6" t="n">
        <x:v>206</x:v>
      </x:c>
      <x:c r="B207" s="6" t="n">
        <x:v>554631</x:v>
      </x:c>
      <x:c r="C207" s="6" t="s">
        <x:v>645</x:v>
      </x:c>
      <x:c r="D207" s="7" t="s">
        <x:v>646</x:v>
      </x:c>
      <x:c r="E207" s="6" t="s">
        <x:v>27</x:v>
      </x:c>
      <x:c r="F207" s="6" t="s">
        <x:v>45</x:v>
      </x:c>
      <x:c r="G207" s="7" t="s">
        <x:v>647</x:v>
      </x:c>
      <x:c r="H207" s="8" t="str">
        <x:v>other</x:v>
      </x:c>
      <x:c r="I207" s="8" t="str">
        <x:v>escalate</x:v>
      </x:c>
      <x:c r="J207" s="8" t="str">
        <x:v>MEDIUM</x:v>
      </x:c>
      <x:c r="K207" s="9" t="str">
        <x:v>Amazon Business conversion/support complaint with six months of unresolved service issues; taxonomy has no Business intent</x:v>
      </x:c>
      <x:c r="L207" s="8" t="str">
        <x:v>FALSE</x:v>
      </x:c>
      <x:c r="M207" s="8" t="str">
        <x:v>GPT-5.6</x:v>
      </x:c>
      <x:c r="N207" s="10" t="n">
        <x:f aca="0">IF(E207=H207,1,0)</x:f>
        <x:v>1</x:v>
      </x:c>
      <x:c r="O207" s="10" t="n">
        <x:f aca="0">IF(F207=I207,1,0)</x:f>
        <x:v>0</x:v>
      </x:c>
    </x:row>
    <x:row r="208" ht="23.850000381469727" hidden="0">
      <x:c r="A208" s="6" t="n">
        <x:v>207</x:v>
      </x:c>
      <x:c r="B208" s="6" t="n">
        <x:v>355578</x:v>
      </x:c>
      <x:c r="C208" s="6" t="s">
        <x:v>648</x:v>
      </x:c>
      <x:c r="D208" s="7" t="s">
        <x:v>649</x:v>
      </x:c>
      <x:c r="E208" s="6" t="s">
        <x:v>27</x:v>
      </x:c>
      <x:c r="F208" s="6" t="s">
        <x:v>45</x:v>
      </x:c>
      <x:c r="G208" s="7" t="s">
        <x:v>647</x:v>
      </x:c>
      <x:c r="H208" s="8" t="s">
        <x:v>27</x:v>
      </x:c>
      <x:c r="I208" s="8" t="s">
        <x:v>58</x:v>
      </x:c>
      <x:c r="J208" s="8" t="s">
        <x:v>47</x:v>
      </x:c>
      <x:c r="K208" s="9" t="s">
        <x:v>650</x:v>
      </x:c>
      <x:c r="L208" s="8" t="str">
        <x:v>FALSE</x:v>
      </x:c>
      <x:c r="M208" s="8" t="str">
        <x:v>GPT-5.6</x:v>
      </x:c>
      <x:c r="N208" s="10" t="n">
        <x:f aca="0">IF(E208=H208,1,0)</x:f>
        <x:v>1</x:v>
      </x:c>
      <x:c r="O208" s="10" t="n">
        <x:f aca="0">IF(F208=I208,1,0)</x:f>
        <x:v>0</x:v>
      </x:c>
    </x:row>
    <x:row r="209" ht="23.850000381469727" hidden="0">
      <x:c r="A209" s="6" t="n">
        <x:v>208</x:v>
      </x:c>
      <x:c r="B209" s="6" t="n">
        <x:v>439252</x:v>
      </x:c>
      <x:c r="C209" s="6" t="s">
        <x:v>651</x:v>
      </x:c>
      <x:c r="D209" s="7" t="s">
        <x:v>652</x:v>
      </x:c>
      <x:c r="E209" s="6" t="s">
        <x:v>27</x:v>
      </x:c>
      <x:c r="F209" s="6" t="s">
        <x:v>45</x:v>
      </x:c>
      <x:c r="G209" s="7" t="s">
        <x:v>647</x:v>
      </x:c>
      <x:c r="H209" s="8" t="s">
        <x:v>27</x:v>
      </x:c>
      <x:c r="I209" s="8" t="s">
        <x:v>45</x:v>
      </x:c>
      <x:c r="J209" s="8" t="s">
        <x:v>100</x:v>
      </x:c>
      <x:c r="K209" s="9" t="s">
        <x:v>653</x:v>
      </x:c>
      <x:c r="L209" s="8" t="str">
        <x:v>FALSE</x:v>
      </x:c>
      <x:c r="M209" s="8" t="str">
        <x:v>GPT-5.6</x:v>
      </x:c>
      <x:c r="N209" s="10" t="n">
        <x:f aca="0">IF(E209=H209,1,0)</x:f>
        <x:v>1</x:v>
      </x:c>
      <x:c r="O209" s="10" t="n">
        <x:f aca="0">IF(F209=I209,1,0)</x:f>
        <x:v>1</x:v>
      </x:c>
    </x:row>
    <x:row r="210" ht="23.850000381469727" hidden="0">
      <x:c r="A210" s="6" t="n">
        <x:v>209</x:v>
      </x:c>
      <x:c r="B210" s="6" t="n">
        <x:v>426978</x:v>
      </x:c>
      <x:c r="C210" s="6" t="s">
        <x:v>654</x:v>
      </x:c>
      <x:c r="D210" s="7" t="s">
        <x:v>655</x:v>
      </x:c>
      <x:c r="E210" s="6" t="s">
        <x:v>27</x:v>
      </x:c>
      <x:c r="F210" s="6" t="s">
        <x:v>45</x:v>
      </x:c>
      <x:c r="G210" s="7" t="s">
        <x:v>647</x:v>
      </x:c>
      <x:c r="H210" s="8" t="s">
        <x:v>27</x:v>
      </x:c>
      <x:c r="I210" s="8" t="s">
        <x:v>45</x:v>
      </x:c>
      <x:c r="J210" s="8" t="s">
        <x:v>100</x:v>
      </x:c>
      <x:c r="K210" s="9" t="s">
        <x:v>656</x:v>
      </x:c>
      <x:c r="L210" s="8" t="str">
        <x:v>FALSE</x:v>
      </x:c>
      <x:c r="M210" s="8" t="str">
        <x:v>GPT-5.6</x:v>
      </x:c>
      <x:c r="N210" s="10" t="n">
        <x:f aca="0">IF(E210=H210,1,0)</x:f>
        <x:v>1</x:v>
      </x:c>
      <x:c r="O210" s="10" t="n">
        <x:f aca="0">IF(F210=I210,1,0)</x:f>
        <x:v>1</x:v>
      </x:c>
    </x:row>
    <x:row r="211" ht="23.850000381469727" hidden="0">
      <x:c r="A211" s="6" t="n">
        <x:v>210</x:v>
      </x:c>
      <x:c r="B211" s="6" t="n">
        <x:v>777245</x:v>
      </x:c>
      <x:c r="C211" s="6" t="s">
        <x:v>657</x:v>
      </x:c>
      <x:c r="D211" s="7" t="s">
        <x:v>658</x:v>
      </x:c>
      <x:c r="E211" s="6" t="s">
        <x:v>27</x:v>
      </x:c>
      <x:c r="F211" s="6" t="s">
        <x:v>45</x:v>
      </x:c>
      <x:c r="G211" s="7" t="s">
        <x:v>647</x:v>
      </x:c>
      <x:c r="H211" s="8" t="s">
        <x:v>26</x:v>
      </x:c>
      <x:c r="I211" s="8" t="s">
        <x:v>58</x:v>
      </x:c>
      <x:c r="J211" s="8" t="s">
        <x:v>51</x:v>
      </x:c>
      <x:c r="K211" s="9" t="s">
        <x:v>659</x:v>
      </x:c>
      <x:c r="L211" s="8" t="str">
        <x:v>FALSE</x:v>
      </x:c>
      <x:c r="M211" s="8" t="str">
        <x:v>claude_draft</x:v>
      </x:c>
      <x:c r="N211" s="10" t="n">
        <x:f aca="0">IF(E211=H211,1,0)</x:f>
        <x:v>0</x:v>
      </x:c>
      <x:c r="O211" s="10" t="n">
        <x:f aca="0">IF(F211=I211,1,0)</x:f>
        <x:v>0</x:v>
      </x:c>
    </x:row>
    <x:row r="212" ht="23.850000381469727" hidden="0">
      <x:c r="A212" s="6" t="n">
        <x:v>211</x:v>
      </x:c>
      <x:c r="B212" s="6" t="n">
        <x:v>421875</x:v>
      </x:c>
      <x:c r="C212" s="6" t="s">
        <x:v>660</x:v>
      </x:c>
      <x:c r="D212" s="7" t="s">
        <x:v>661</x:v>
      </x:c>
      <x:c r="E212" s="6" t="s">
        <x:v>27</x:v>
      </x:c>
      <x:c r="F212" s="6" t="s">
        <x:v>45</x:v>
      </x:c>
      <x:c r="G212" s="7" t="s">
        <x:v>647</x:v>
      </x:c>
      <x:c r="H212" s="8" t="s">
        <x:v>27</x:v>
      </x:c>
      <x:c r="I212" s="8" t="s">
        <x:v>45</x:v>
      </x:c>
      <x:c r="J212" s="8" t="s">
        <x:v>51</x:v>
      </x:c>
      <x:c r="K212" s="9" t="s">
        <x:v>662</x:v>
      </x:c>
      <x:c r="L212" s="8" t="str">
        <x:v>FALSE</x:v>
      </x:c>
      <x:c r="M212" s="8" t="str">
        <x:v>claude_draft</x:v>
      </x:c>
      <x:c r="N212" s="10" t="n">
        <x:f aca="0">IF(E212=H212,1,0)</x:f>
        <x:v>1</x:v>
      </x:c>
      <x:c r="O212" s="10" t="n">
        <x:f aca="0">IF(F212=I212,1,0)</x:f>
        <x:v>1</x:v>
      </x:c>
    </x:row>
    <x:row r="213" ht="35.04999923706055" hidden="0">
      <x:c r="A213" s="6" t="n">
        <x:v>212</x:v>
      </x:c>
      <x:c r="B213" s="6" t="n">
        <x:v>180308</x:v>
      </x:c>
      <x:c r="C213" s="6" t="s">
        <x:v>663</x:v>
      </x:c>
      <x:c r="D213" s="7" t="s">
        <x:v>664</x:v>
      </x:c>
      <x:c r="E213" s="6" t="s">
        <x:v>27</x:v>
      </x:c>
      <x:c r="F213" s="6" t="s">
        <x:v>45</x:v>
      </x:c>
      <x:c r="G213" s="7" t="s">
        <x:v>647</x:v>
      </x:c>
      <x:c r="H213" s="8" t="s">
        <x:v>27</x:v>
      </x:c>
      <x:c r="I213" s="8" t="s">
        <x:v>45</x:v>
      </x:c>
      <x:c r="J213" s="8" t="s">
        <x:v>51</x:v>
      </x:c>
      <x:c r="K213" s="9" t="s">
        <x:v>665</x:v>
      </x:c>
      <x:c r="L213" s="8" t="str">
        <x:v>FALSE</x:v>
      </x:c>
      <x:c r="M213" s="8" t="str">
        <x:v>claude_draft</x:v>
      </x:c>
      <x:c r="N213" s="10" t="n">
        <x:f aca="0">IF(E213=H213,1,0)</x:f>
        <x:v>1</x:v>
      </x:c>
      <x:c r="O213" s="10" t="n">
        <x:f aca="0">IF(F213=I213,1,0)</x:f>
        <x:v>1</x:v>
      </x:c>
    </x:row>
    <x:row r="214" ht="23.850000381469727" hidden="0">
      <x:c r="A214" s="6" t="n">
        <x:v>213</x:v>
      </x:c>
      <x:c r="B214" s="6" t="n">
        <x:v>253955</x:v>
      </x:c>
      <x:c r="C214" s="6" t="s">
        <x:v>666</x:v>
      </x:c>
      <x:c r="D214" s="7" t="s">
        <x:v>667</x:v>
      </x:c>
      <x:c r="E214" s="6" t="s">
        <x:v>27</x:v>
      </x:c>
      <x:c r="F214" s="6" t="s">
        <x:v>45</x:v>
      </x:c>
      <x:c r="G214" s="7" t="s">
        <x:v>647</x:v>
      </x:c>
      <x:c r="H214" s="8" t="s">
        <x:v>21</x:v>
      </x:c>
      <x:c r="I214" s="8" t="s">
        <x:v>45</x:v>
      </x:c>
      <x:c r="J214" s="8" t="s">
        <x:v>100</x:v>
      </x:c>
      <x:c r="K214" s="9" t="s">
        <x:v>668</x:v>
      </x:c>
      <x:c r="L214" s="8" t="str">
        <x:v>FALSE</x:v>
      </x:c>
      <x:c r="M214" s="8" t="str">
        <x:v>GPT-5.6</x:v>
      </x:c>
      <x:c r="N214" s="10" t="n">
        <x:f aca="0">IF(E214=H214,1,0)</x:f>
        <x:v>0</x:v>
      </x:c>
      <x:c r="O214" s="10" t="n">
        <x:f aca="0">IF(F214=I214,1,0)</x:f>
        <x:v>1</x:v>
      </x:c>
    </x:row>
    <x:row r="215" ht="23.850000381469727" hidden="0">
      <x:c r="A215" s="6" t="n">
        <x:v>214</x:v>
      </x:c>
      <x:c r="B215" s="6" t="n">
        <x:v>419454</x:v>
      </x:c>
      <x:c r="C215" s="6" t="s">
        <x:v>669</x:v>
      </x:c>
      <x:c r="D215" s="7" t="s">
        <x:v>670</x:v>
      </x:c>
      <x:c r="E215" s="6" t="s">
        <x:v>27</x:v>
      </x:c>
      <x:c r="F215" s="6" t="s">
        <x:v>45</x:v>
      </x:c>
      <x:c r="G215" s="7" t="s">
        <x:v>647</x:v>
      </x:c>
      <x:c r="H215" s="8" t="s">
        <x:v>27</x:v>
      </x:c>
      <x:c r="I215" s="8" t="s">
        <x:v>45</x:v>
      </x:c>
      <x:c r="J215" s="8" t="s">
        <x:v>51</x:v>
      </x:c>
      <x:c r="K215" s="9" t="s">
        <x:v>671</x:v>
      </x:c>
      <x:c r="L215" s="8" t="str">
        <x:v>FALSE</x:v>
      </x:c>
      <x:c r="M215" s="8" t="str">
        <x:v>claude_draft</x:v>
      </x:c>
      <x:c r="N215" s="10" t="n">
        <x:f aca="0">IF(E215=H215,1,0)</x:f>
        <x:v>1</x:v>
      </x:c>
      <x:c r="O215" s="10" t="n">
        <x:f aca="0">IF(F215=I215,1,0)</x:f>
        <x:v>1</x:v>
      </x:c>
    </x:row>
    <x:row r="216" ht="46.25" hidden="0">
      <x:c r="A216" s="6" t="n">
        <x:v>215</x:v>
      </x:c>
      <x:c r="B216" s="6" t="n">
        <x:v>169536</x:v>
      </x:c>
      <x:c r="C216" s="6" t="s">
        <x:v>672</x:v>
      </x:c>
      <x:c r="D216" s="7" t="s">
        <x:v>673</x:v>
      </x:c>
      <x:c r="E216" s="6" t="s">
        <x:v>27</x:v>
      </x:c>
      <x:c r="F216" s="6" t="s">
        <x:v>45</x:v>
      </x:c>
      <x:c r="G216" s="7" t="s">
        <x:v>647</x:v>
      </x:c>
      <x:c r="H216" s="8" t="s">
        <x:v>25</x:v>
      </x:c>
      <x:c r="I216" s="8" t="s">
        <x:v>45</x:v>
      </x:c>
      <x:c r="J216" s="8" t="s">
        <x:v>51</x:v>
      </x:c>
      <x:c r="K216" s="9" t="s">
        <x:v>674</x:v>
      </x:c>
      <x:c r="L216" s="8" t="str">
        <x:v>FALSE</x:v>
      </x:c>
      <x:c r="M216" s="8" t="str">
        <x:v>claude_draft</x:v>
      </x:c>
      <x:c r="N216" s="10" t="n">
        <x:f aca="0">IF(E216=H216,1,0)</x:f>
        <x:v>0</x:v>
      </x:c>
      <x:c r="O216" s="10" t="n">
        <x:f aca="0">IF(F216=I216,1,0)</x:f>
        <x:v>1</x:v>
      </x:c>
    </x:row>
    <x:row r="217" ht="23.850000381469727" hidden="0">
      <x:c r="A217" s="6" t="n">
        <x:v>216</x:v>
      </x:c>
      <x:c r="B217" s="6" t="n">
        <x:v>182852</x:v>
      </x:c>
      <x:c r="C217" s="6" t="s">
        <x:v>675</x:v>
      </x:c>
      <x:c r="D217" s="7" t="s">
        <x:v>676</x:v>
      </x:c>
      <x:c r="E217" s="6" t="s">
        <x:v>27</x:v>
      </x:c>
      <x:c r="F217" s="6" t="s">
        <x:v>45</x:v>
      </x:c>
      <x:c r="G217" s="7" t="s">
        <x:v>647</x:v>
      </x:c>
      <x:c r="H217" s="8" t="s">
        <x:v>21</x:v>
      </x:c>
      <x:c r="I217" s="8" t="s">
        <x:v>45</x:v>
      </x:c>
      <x:c r="J217" s="8" t="s">
        <x:v>47</x:v>
      </x:c>
      <x:c r="K217" s="9" t="s">
        <x:v>677</x:v>
      </x:c>
      <x:c r="L217" s="8" t="str">
        <x:v>FALSE</x:v>
      </x:c>
      <x:c r="M217" s="8" t="str">
        <x:v>GPT-5.6</x:v>
      </x:c>
      <x:c r="N217" s="10" t="n">
        <x:f aca="0">IF(E217=H217,1,0)</x:f>
        <x:v>0</x:v>
      </x:c>
      <x:c r="O217" s="10" t="n">
        <x:f aca="0">IF(F217=I217,1,0)</x:f>
        <x:v>1</x:v>
      </x:c>
    </x:row>
    <x:row r="218" ht="23.850000381469727" hidden="0">
      <x:c r="A218" s="6" t="n">
        <x:v>217</x:v>
      </x:c>
      <x:c r="B218" s="6" t="n">
        <x:v>738395</x:v>
      </x:c>
      <x:c r="C218" s="6" t="s">
        <x:v>678</x:v>
      </x:c>
      <x:c r="D218" s="7" t="s">
        <x:v>679</x:v>
      </x:c>
      <x:c r="E218" s="6" t="s">
        <x:v>27</x:v>
      </x:c>
      <x:c r="F218" s="6" t="s">
        <x:v>45</x:v>
      </x:c>
      <x:c r="G218" s="7" t="s">
        <x:v>647</x:v>
      </x:c>
      <x:c r="H218" s="8" t="s">
        <x:v>21</x:v>
      </x:c>
      <x:c r="I218" s="8" t="s">
        <x:v>45</x:v>
      </x:c>
      <x:c r="J218" s="8" t="s">
        <x:v>47</x:v>
      </x:c>
      <x:c r="K218" s="9" t="s">
        <x:v>680</x:v>
      </x:c>
      <x:c r="L218" s="8" t="str">
        <x:v>FALSE</x:v>
      </x:c>
      <x:c r="M218" s="8" t="str">
        <x:v>GPT-5.6</x:v>
      </x:c>
      <x:c r="N218" s="10" t="n">
        <x:f aca="0">IF(E218=H218,1,0)</x:f>
        <x:v>0</x:v>
      </x:c>
      <x:c r="O218" s="10" t="n">
        <x:f aca="0">IF(F218=I218,1,0)</x:f>
        <x:v>1</x:v>
      </x:c>
    </x:row>
    <x:row r="219" ht="23.850000381469727" hidden="0">
      <x:c r="A219" s="6" t="n">
        <x:v>218</x:v>
      </x:c>
      <x:c r="B219" s="6" t="n">
        <x:v>249991</x:v>
      </x:c>
      <x:c r="C219" s="6" t="s">
        <x:v>681</x:v>
      </x:c>
      <x:c r="D219" s="7" t="s">
        <x:v>682</x:v>
      </x:c>
      <x:c r="E219" s="6" t="s">
        <x:v>27</x:v>
      </x:c>
      <x:c r="F219" s="6" t="s">
        <x:v>45</x:v>
      </x:c>
      <x:c r="G219" s="7" t="s">
        <x:v>647</x:v>
      </x:c>
      <x:c r="H219" s="8" t="s">
        <x:v>27</x:v>
      </x:c>
      <x:c r="I219" s="8" t="s">
        <x:v>45</x:v>
      </x:c>
      <x:c r="J219" s="8" t="s">
        <x:v>51</x:v>
      </x:c>
      <x:c r="K219" s="9" t="s">
        <x:v>683</x:v>
      </x:c>
      <x:c r="L219" s="8" t="str">
        <x:v>FALSE</x:v>
      </x:c>
      <x:c r="M219" s="8" t="str">
        <x:v>claude_draft</x:v>
      </x:c>
      <x:c r="N219" s="10" t="n">
        <x:f aca="0">IF(E219=H219,1,0)</x:f>
        <x:v>1</x:v>
      </x:c>
      <x:c r="O219" s="10" t="n">
        <x:f aca="0">IF(F219=I219,1,0)</x:f>
        <x:v>1</x:v>
      </x:c>
    </x:row>
    <x:row r="220" ht="23.850000381469727" hidden="0">
      <x:c r="A220" s="6" t="n">
        <x:v>219</x:v>
      </x:c>
      <x:c r="B220" s="6" t="n">
        <x:v>74832</x:v>
      </x:c>
      <x:c r="C220" s="6" t="s">
        <x:v>684</x:v>
      </x:c>
      <x:c r="D220" s="7" t="s">
        <x:v>685</x:v>
      </x:c>
      <x:c r="E220" s="6" t="s">
        <x:v>27</x:v>
      </x:c>
      <x:c r="F220" s="6" t="s">
        <x:v>45</x:v>
      </x:c>
      <x:c r="G220" s="7" t="s">
        <x:v>647</x:v>
      </x:c>
      <x:c r="H220" s="8" t="s">
        <x:v>27</x:v>
      </x:c>
      <x:c r="I220" s="8" t="s">
        <x:v>58</x:v>
      </x:c>
      <x:c r="J220" s="8" t="s">
        <x:v>47</x:v>
      </x:c>
      <x:c r="K220" s="9" t="s">
        <x:v>686</x:v>
      </x:c>
      <x:c r="L220" s="8" t="str">
        <x:v>FALSE</x:v>
      </x:c>
      <x:c r="M220" s="8" t="str">
        <x:v>GPT-5.6</x:v>
      </x:c>
      <x:c r="N220" s="10" t="n">
        <x:f aca="0">IF(E220=H220,1,0)</x:f>
        <x:v>1</x:v>
      </x:c>
      <x:c r="O220" s="10" t="n">
        <x:f aca="0">IF(F220=I220,1,0)</x:f>
        <x:v>0</x:v>
      </x:c>
    </x:row>
    <x:row r="221" ht="23.850000381469727" hidden="0">
      <x:c r="A221" s="6" t="n">
        <x:v>220</x:v>
      </x:c>
      <x:c r="B221" s="6" t="n">
        <x:v>38203</x:v>
      </x:c>
      <x:c r="C221" s="6" t="s">
        <x:v>687</x:v>
      </x:c>
      <x:c r="D221" s="7" t="s">
        <x:v>688</x:v>
      </x:c>
      <x:c r="E221" s="6" t="s">
        <x:v>27</x:v>
      </x:c>
      <x:c r="F221" s="6" t="s">
        <x:v>45</x:v>
      </x:c>
      <x:c r="G221" s="7" t="s">
        <x:v>647</x:v>
      </x:c>
      <x:c r="H221" s="8" t="s">
        <x:v>27</x:v>
      </x:c>
      <x:c r="I221" s="8" t="s">
        <x:v>45</x:v>
      </x:c>
      <x:c r="J221" s="8" t="s">
        <x:v>51</x:v>
      </x:c>
      <x:c r="K221" s="9" t="s">
        <x:v>689</x:v>
      </x:c>
      <x:c r="L221" s="8" t="str">
        <x:v>FALSE</x:v>
      </x:c>
      <x:c r="M221" s="8" t="str">
        <x:v>claude_draft</x:v>
      </x:c>
      <x:c r="N221" s="10" t="n">
        <x:f aca="0">IF(E221=H221,1,0)</x:f>
        <x:v>1</x:v>
      </x:c>
      <x:c r="O221" s="10" t="n">
        <x:f aca="0">IF(F221=I221,1,0)</x:f>
        <x:v>1</x:v>
      </x:c>
    </x:row>
    <x:row r="222" ht="23.850000381469727" hidden="0">
      <x:c r="A222" s="6" t="n">
        <x:v>221</x:v>
      </x:c>
      <x:c r="B222" s="6" t="n">
        <x:v>115815</x:v>
      </x:c>
      <x:c r="C222" s="6" t="s">
        <x:v>690</x:v>
      </x:c>
      <x:c r="D222" s="7" t="s">
        <x:v>691</x:v>
      </x:c>
      <x:c r="E222" s="6" t="s">
        <x:v>27</x:v>
      </x:c>
      <x:c r="F222" s="6" t="s">
        <x:v>45</x:v>
      </x:c>
      <x:c r="G222" s="7" t="s">
        <x:v>647</x:v>
      </x:c>
      <x:c r="H222" s="8" t="s">
        <x:v>27</x:v>
      </x:c>
      <x:c r="I222" s="8" t="s">
        <x:v>45</x:v>
      </x:c>
      <x:c r="J222" s="8" t="s">
        <x:v>51</x:v>
      </x:c>
      <x:c r="K222" s="9" t="s">
        <x:v>692</x:v>
      </x:c>
      <x:c r="L222" s="8" t="str">
        <x:v>FALSE</x:v>
      </x:c>
      <x:c r="M222" s="8" t="str">
        <x:v>claude_draft</x:v>
      </x:c>
      <x:c r="N222" s="10" t="n">
        <x:f aca="0">IF(E222=H222,1,0)</x:f>
        <x:v>1</x:v>
      </x:c>
      <x:c r="O222" s="10" t="n">
        <x:f aca="0">IF(F222=I222,1,0)</x:f>
        <x:v>1</x:v>
      </x:c>
    </x:row>
    <x:row r="223" ht="46.25" hidden="0">
      <x:c r="A223" s="6" t="n">
        <x:v>222</x:v>
      </x:c>
      <x:c r="B223" s="6" t="n">
        <x:v>504947</x:v>
      </x:c>
      <x:c r="C223" s="6" t="s">
        <x:v>693</x:v>
      </x:c>
      <x:c r="D223" s="7" t="s">
        <x:v>694</x:v>
      </x:c>
      <x:c r="E223" s="6" t="s">
        <x:v>27</x:v>
      </x:c>
      <x:c r="F223" s="6" t="s">
        <x:v>45</x:v>
      </x:c>
      <x:c r="G223" s="7" t="s">
        <x:v>647</x:v>
      </x:c>
      <x:c r="H223" s="8" t="s">
        <x:v>21</x:v>
      </x:c>
      <x:c r="I223" s="8" t="s">
        <x:v>45</x:v>
      </x:c>
      <x:c r="J223" s="8" t="s">
        <x:v>47</x:v>
      </x:c>
      <x:c r="K223" s="9" t="s">
        <x:v>695</x:v>
      </x:c>
      <x:c r="L223" s="8" t="str">
        <x:v>FALSE</x:v>
      </x:c>
      <x:c r="M223" s="8" t="str">
        <x:v>GPT-5.6</x:v>
      </x:c>
      <x:c r="N223" s="10" t="n">
        <x:f aca="0">IF(E223=H223,1,0)</x:f>
        <x:v>0</x:v>
      </x:c>
      <x:c r="O223" s="10" t="n">
        <x:f aca="0">IF(F223=I223,1,0)</x:f>
        <x:v>1</x:v>
      </x:c>
    </x:row>
    <x:row r="224" ht="46.25" hidden="0">
      <x:c r="A224" s="6" t="n">
        <x:v>223</x:v>
      </x:c>
      <x:c r="B224" s="6" t="n">
        <x:v>527081</x:v>
      </x:c>
      <x:c r="C224" s="6" t="s">
        <x:v>696</x:v>
      </x:c>
      <x:c r="D224" s="7" t="s">
        <x:v>697</x:v>
      </x:c>
      <x:c r="E224" s="6" t="s">
        <x:v>27</x:v>
      </x:c>
      <x:c r="F224" s="6" t="s">
        <x:v>45</x:v>
      </x:c>
      <x:c r="G224" s="7" t="s">
        <x:v>647</x:v>
      </x:c>
      <x:c r="H224" s="8" t="s">
        <x:v>27</x:v>
      </x:c>
      <x:c r="I224" s="8" t="s">
        <x:v>45</x:v>
      </x:c>
      <x:c r="J224" s="8" t="s">
        <x:v>47</x:v>
      </x:c>
      <x:c r="K224" s="9" t="s">
        <x:v>698</x:v>
      </x:c>
      <x:c r="L224" s="8" t="str">
        <x:v>FALSE</x:v>
      </x:c>
      <x:c r="M224" s="8" t="str">
        <x:v>GPT-5.6</x:v>
      </x:c>
      <x:c r="N224" s="10" t="n">
        <x:f aca="0">IF(E224=H224,1,0)</x:f>
        <x:v>1</x:v>
      </x:c>
      <x:c r="O224" s="10" t="n">
        <x:f aca="0">IF(F224=I224,1,0)</x:f>
        <x:v>1</x:v>
      </x:c>
    </x:row>
    <x:row r="225" ht="35.04999923706055" hidden="0">
      <x:c r="A225" s="6" t="n">
        <x:v>224</x:v>
      </x:c>
      <x:c r="B225" s="6" t="n">
        <x:v>598026</x:v>
      </x:c>
      <x:c r="C225" s="6" t="s">
        <x:v>699</x:v>
      </x:c>
      <x:c r="D225" s="7" t="s">
        <x:v>700</x:v>
      </x:c>
      <x:c r="E225" s="6" t="s">
        <x:v>27</x:v>
      </x:c>
      <x:c r="F225" s="6" t="s">
        <x:v>45</x:v>
      </x:c>
      <x:c r="G225" s="7" t="s">
        <x:v>647</x:v>
      </x:c>
      <x:c r="H225" s="8" t="s">
        <x:v>27</x:v>
      </x:c>
      <x:c r="I225" s="8" t="s">
        <x:v>45</x:v>
      </x:c>
      <x:c r="J225" s="8" t="s">
        <x:v>51</x:v>
      </x:c>
      <x:c r="K225" s="9" t="s">
        <x:v>701</x:v>
      </x:c>
      <x:c r="L225" s="8" t="str">
        <x:v>FALSE</x:v>
      </x:c>
      <x:c r="M225" s="8" t="str">
        <x:v>claude_draft</x:v>
      </x:c>
      <x:c r="N225" s="10" t="n">
        <x:f aca="0">IF(E225=H225,1,0)</x:f>
        <x:v>1</x:v>
      </x:c>
      <x:c r="O225" s="10" t="n">
        <x:f aca="0">IF(F225=I225,1,0)</x:f>
        <x:v>1</x:v>
      </x:c>
    </x:row>
    <x:row r="226" ht="23.850000381469727" hidden="0">
      <x:c r="A226" s="6" t="n">
        <x:v>225</x:v>
      </x:c>
      <x:c r="B226" s="6" t="n">
        <x:v>344351</x:v>
      </x:c>
      <x:c r="C226" s="6" t="s">
        <x:v>702</x:v>
      </x:c>
      <x:c r="D226" s="7" t="s">
        <x:v>703</x:v>
      </x:c>
      <x:c r="E226" s="6" t="s">
        <x:v>27</x:v>
      </x:c>
      <x:c r="F226" s="6" t="s">
        <x:v>45</x:v>
      </x:c>
      <x:c r="G226" s="7" t="s">
        <x:v>647</x:v>
      </x:c>
      <x:c r="H226" s="8" t="s">
        <x:v>27</x:v>
      </x:c>
      <x:c r="I226" s="8" t="s">
        <x:v>45</x:v>
      </x:c>
      <x:c r="J226" s="8" t="s">
        <x:v>51</x:v>
      </x:c>
      <x:c r="K226" s="9" t="s">
        <x:v>704</x:v>
      </x:c>
      <x:c r="L226" s="8" t="str">
        <x:v>FALSE</x:v>
      </x:c>
      <x:c r="M226" s="8" t="str">
        <x:v>claude_draft</x:v>
      </x:c>
      <x:c r="N226" s="10" t="n">
        <x:f aca="0">IF(E226=H226,1,0)</x:f>
        <x:v>1</x:v>
      </x:c>
      <x:c r="O226" s="10" t="n">
        <x:f aca="0">IF(F226=I226,1,0)</x:f>
        <x:v>1</x:v>
      </x:c>
    </x:row>
    <x:row r="227" ht="23.850000381469727" hidden="0">
      <x:c r="A227" s="6" t="n">
        <x:v>226</x:v>
      </x:c>
      <x:c r="B227" s="6" t="n">
        <x:v>286792</x:v>
      </x:c>
      <x:c r="C227" s="6" t="s">
        <x:v>705</x:v>
      </x:c>
      <x:c r="D227" s="7" t="s">
        <x:v>706</x:v>
      </x:c>
      <x:c r="E227" s="6" t="s">
        <x:v>27</x:v>
      </x:c>
      <x:c r="F227" s="6" t="s">
        <x:v>45</x:v>
      </x:c>
      <x:c r="G227" s="7" t="s">
        <x:v>647</x:v>
      </x:c>
      <x:c r="H227" s="8" t="s">
        <x:v>27</x:v>
      </x:c>
      <x:c r="I227" s="8" t="s">
        <x:v>58</x:v>
      </x:c>
      <x:c r="J227" s="8" t="s">
        <x:v>47</x:v>
      </x:c>
      <x:c r="K227" s="9" t="s">
        <x:v>707</x:v>
      </x:c>
      <x:c r="L227" s="8" t="str">
        <x:v>FALSE</x:v>
      </x:c>
      <x:c r="M227" s="8" t="str">
        <x:v>GPT-5.6</x:v>
      </x:c>
      <x:c r="N227" s="10" t="n">
        <x:f aca="0">IF(E227=H227,1,0)</x:f>
        <x:v>1</x:v>
      </x:c>
      <x:c r="O227" s="10" t="n">
        <x:f aca="0">IF(F227=I227,1,0)</x:f>
        <x:v>0</x:v>
      </x:c>
    </x:row>
    <x:row r="228" ht="35.04999923706055" hidden="0">
      <x:c r="A228" s="6" t="n">
        <x:v>227</x:v>
      </x:c>
      <x:c r="B228" s="6" t="n">
        <x:v>313708</x:v>
      </x:c>
      <x:c r="C228" s="6" t="s">
        <x:v>708</x:v>
      </x:c>
      <x:c r="D228" s="7" t="s">
        <x:v>709</x:v>
      </x:c>
      <x:c r="E228" s="6" t="s">
        <x:v>27</x:v>
      </x:c>
      <x:c r="F228" s="6" t="s">
        <x:v>45</x:v>
      </x:c>
      <x:c r="G228" s="7" t="s">
        <x:v>647</x:v>
      </x:c>
      <x:c r="H228" s="8" t="s">
        <x:v>21</x:v>
      </x:c>
      <x:c r="I228" s="8" t="s">
        <x:v>45</x:v>
      </x:c>
      <x:c r="J228" s="8" t="s">
        <x:v>47</x:v>
      </x:c>
      <x:c r="K228" s="9" t="s">
        <x:v>710</x:v>
      </x:c>
      <x:c r="L228" s="8" t="str">
        <x:v>FALSE</x:v>
      </x:c>
      <x:c r="M228" s="8" t="str">
        <x:v>GPT-5.6</x:v>
      </x:c>
      <x:c r="N228" s="10" t="n">
        <x:f aca="0">IF(E228=H228,1,0)</x:f>
        <x:v>0</x:v>
      </x:c>
      <x:c r="O228" s="10" t="n">
        <x:f aca="0">IF(F228=I228,1,0)</x:f>
        <x:v>1</x:v>
      </x:c>
    </x:row>
    <x:row r="229" ht="23.850000381469727" hidden="0">
      <x:c r="A229" s="6" t="n">
        <x:v>228</x:v>
      </x:c>
      <x:c r="B229" s="6" t="n">
        <x:v>276182</x:v>
      </x:c>
      <x:c r="C229" s="6" t="s">
        <x:v>711</x:v>
      </x:c>
      <x:c r="D229" s="7" t="s">
        <x:v>712</x:v>
      </x:c>
      <x:c r="E229" s="6" t="s">
        <x:v>27</x:v>
      </x:c>
      <x:c r="F229" s="6" t="s">
        <x:v>45</x:v>
      </x:c>
      <x:c r="G229" s="7" t="s">
        <x:v>647</x:v>
      </x:c>
      <x:c r="H229" s="8" t="s">
        <x:v>21</x:v>
      </x:c>
      <x:c r="I229" s="8" t="s">
        <x:v>45</x:v>
      </x:c>
      <x:c r="J229" s="8" t="s">
        <x:v>51</x:v>
      </x:c>
      <x:c r="K229" s="9" t="s">
        <x:v>713</x:v>
      </x:c>
      <x:c r="L229" s="8" t="str">
        <x:v>FALSE</x:v>
      </x:c>
      <x:c r="M229" s="8" t="str">
        <x:v>claude_draft</x:v>
      </x:c>
      <x:c r="N229" s="10" t="n">
        <x:f aca="0">IF(E229=H229,1,0)</x:f>
        <x:v>0</x:v>
      </x:c>
      <x:c r="O229" s="10" t="n">
        <x:f aca="0">IF(F229=I229,1,0)</x:f>
        <x:v>1</x:v>
      </x:c>
    </x:row>
    <x:row r="230" ht="23.850000381469727" hidden="0">
      <x:c r="A230" s="6" t="n">
        <x:v>229</x:v>
      </x:c>
      <x:c r="B230" s="6" t="n">
        <x:v>205110</x:v>
      </x:c>
      <x:c r="C230" s="6" t="s">
        <x:v>714</x:v>
      </x:c>
      <x:c r="D230" s="7" t="s">
        <x:v>715</x:v>
      </x:c>
      <x:c r="E230" s="6" t="s">
        <x:v>27</x:v>
      </x:c>
      <x:c r="F230" s="6" t="s">
        <x:v>45</x:v>
      </x:c>
      <x:c r="G230" s="7" t="s">
        <x:v>647</x:v>
      </x:c>
      <x:c r="H230" s="8" t="s">
        <x:v>21</x:v>
      </x:c>
      <x:c r="I230" s="8" t="s">
        <x:v>45</x:v>
      </x:c>
      <x:c r="J230" s="8" t="s">
        <x:v>47</x:v>
      </x:c>
      <x:c r="K230" s="9" t="s">
        <x:v>716</x:v>
      </x:c>
      <x:c r="L230" s="8" t="str">
        <x:v>FALSE</x:v>
      </x:c>
      <x:c r="M230" s="8" t="str">
        <x:v>GPT-5.6</x:v>
      </x:c>
      <x:c r="N230" s="10" t="n">
        <x:f aca="0">IF(E230=H230,1,0)</x:f>
        <x:v>0</x:v>
      </x:c>
      <x:c r="O230" s="10" t="n">
        <x:f aca="0">IF(F230=I230,1,0)</x:f>
        <x:v>1</x:v>
      </x:c>
    </x:row>
    <x:row r="231" ht="23.850000381469727" hidden="0">
      <x:c r="A231" s="6" t="n">
        <x:v>230</x:v>
      </x:c>
      <x:c r="B231" s="6" t="n">
        <x:v>505774</x:v>
      </x:c>
      <x:c r="C231" s="6" t="s">
        <x:v>717</x:v>
      </x:c>
      <x:c r="D231" s="7" t="s">
        <x:v>718</x:v>
      </x:c>
      <x:c r="E231" s="6" t="s">
        <x:v>27</x:v>
      </x:c>
      <x:c r="F231" s="6" t="s">
        <x:v>45</x:v>
      </x:c>
      <x:c r="G231" s="7" t="s">
        <x:v>647</x:v>
      </x:c>
      <x:c r="H231" s="8" t="s">
        <x:v>21</x:v>
      </x:c>
      <x:c r="I231" s="8" t="s">
        <x:v>45</x:v>
      </x:c>
      <x:c r="J231" s="8" t="s">
        <x:v>51</x:v>
      </x:c>
      <x:c r="K231" s="9" t="s">
        <x:v>719</x:v>
      </x:c>
      <x:c r="L231" s="8" t="str">
        <x:v>FALSE</x:v>
      </x:c>
      <x:c r="M231" s="8" t="str">
        <x:v>claude_draft</x:v>
      </x:c>
      <x:c r="N231" s="10" t="n">
        <x:f aca="0">IF(E231=H231,1,0)</x:f>
        <x:v>0</x:v>
      </x:c>
      <x:c r="O231" s="10" t="n">
        <x:f aca="0">IF(F231=I231,1,0)</x:f>
        <x:v>1</x:v>
      </x:c>
    </x:row>
    <x:row r="232" ht="23.850000381469727" hidden="0">
      <x:c r="A232" s="6" t="n">
        <x:v>231</x:v>
      </x:c>
      <x:c r="B232" s="6" t="n">
        <x:v>622475</x:v>
      </x:c>
      <x:c r="C232" s="6" t="s">
        <x:v>720</x:v>
      </x:c>
      <x:c r="D232" s="7" t="s">
        <x:v>721</x:v>
      </x:c>
      <x:c r="E232" s="6" t="s">
        <x:v>27</x:v>
      </x:c>
      <x:c r="F232" s="6" t="s">
        <x:v>45</x:v>
      </x:c>
      <x:c r="G232" s="7" t="s">
        <x:v>647</x:v>
      </x:c>
      <x:c r="H232" s="8" t="s">
        <x:v>27</x:v>
      </x:c>
      <x:c r="I232" s="8" t="s">
        <x:v>58</x:v>
      </x:c>
      <x:c r="J232" s="8" t="s">
        <x:v>51</x:v>
      </x:c>
      <x:c r="K232" s="9" t="s">
        <x:v>722</x:v>
      </x:c>
      <x:c r="L232" s="8" t="str">
        <x:v>FALSE</x:v>
      </x:c>
      <x:c r="M232" s="8" t="str">
        <x:v>claude_draft</x:v>
      </x:c>
      <x:c r="N232" s="10" t="n">
        <x:f aca="0">IF(E232=H232,1,0)</x:f>
        <x:v>1</x:v>
      </x:c>
      <x:c r="O232" s="10" t="n">
        <x:f aca="0">IF(F232=I232,1,0)</x:f>
        <x:v>0</x:v>
      </x:c>
    </x:row>
    <x:row r="233" ht="35.04999923706055" hidden="0">
      <x:c r="A233" s="6" t="n">
        <x:v>232</x:v>
      </x:c>
      <x:c r="B233" s="6" t="n">
        <x:v>383273</x:v>
      </x:c>
      <x:c r="C233" s="6" t="s">
        <x:v>723</x:v>
      </x:c>
      <x:c r="D233" s="7" t="s">
        <x:v>724</x:v>
      </x:c>
      <x:c r="E233" s="6" t="s">
        <x:v>27</x:v>
      </x:c>
      <x:c r="F233" s="6" t="s">
        <x:v>45</x:v>
      </x:c>
      <x:c r="G233" s="7" t="s">
        <x:v>647</x:v>
      </x:c>
      <x:c r="H233" s="8" t="s">
        <x:v>27</x:v>
      </x:c>
      <x:c r="I233" s="8" t="s">
        <x:v>58</x:v>
      </x:c>
      <x:c r="J233" s="8" t="s">
        <x:v>51</x:v>
      </x:c>
      <x:c r="K233" s="9" t="s">
        <x:v>725</x:v>
      </x:c>
      <x:c r="L233" s="8" t="str">
        <x:v>FALSE</x:v>
      </x:c>
      <x:c r="M233" s="8" t="str">
        <x:v>claude_draft</x:v>
      </x:c>
      <x:c r="N233" s="10" t="n">
        <x:f aca="0">IF(E233=H233,1,0)</x:f>
        <x:v>1</x:v>
      </x:c>
      <x:c r="O233" s="10" t="n">
        <x:f aca="0">IF(F233=I233,1,0)</x:f>
        <x:v>0</x:v>
      </x:c>
    </x:row>
    <x:row r="234" ht="35.04999923706055" hidden="0">
      <x:c r="A234" s="6" t="n">
        <x:v>233</x:v>
      </x:c>
      <x:c r="B234" s="6" t="n">
        <x:v>319339</x:v>
      </x:c>
      <x:c r="C234" s="6" t="s">
        <x:v>726</x:v>
      </x:c>
      <x:c r="D234" s="7" t="s">
        <x:v>727</x:v>
      </x:c>
      <x:c r="E234" s="6" t="s">
        <x:v>27</x:v>
      </x:c>
      <x:c r="F234" s="6" t="s">
        <x:v>45</x:v>
      </x:c>
      <x:c r="G234" s="7" t="s">
        <x:v>647</x:v>
      </x:c>
      <x:c r="H234" s="8" t="s">
        <x:v>21</x:v>
      </x:c>
      <x:c r="I234" s="8" t="s">
        <x:v>58</x:v>
      </x:c>
      <x:c r="J234" s="8" t="s">
        <x:v>47</x:v>
      </x:c>
      <x:c r="K234" s="9" t="s">
        <x:v>728</x:v>
      </x:c>
      <x:c r="L234" s="8" t="str">
        <x:v>FALSE</x:v>
      </x:c>
      <x:c r="M234" s="8" t="str">
        <x:v>GPT-5.6</x:v>
      </x:c>
      <x:c r="N234" s="10" t="n">
        <x:f aca="0">IF(E234=H234,1,0)</x:f>
        <x:v>0</x:v>
      </x:c>
      <x:c r="O234" s="10" t="n">
        <x:f aca="0">IF(F234=I234,1,0)</x:f>
        <x:v>0</x:v>
      </x:c>
    </x:row>
    <x:row r="235" ht="23.850000381469727" hidden="0">
      <x:c r="A235" s="6" t="n">
        <x:v>234</x:v>
      </x:c>
      <x:c r="B235" s="6" t="n">
        <x:v>248096</x:v>
      </x:c>
      <x:c r="C235" s="6" t="s">
        <x:v>729</x:v>
      </x:c>
      <x:c r="D235" s="7" t="s">
        <x:v>730</x:v>
      </x:c>
      <x:c r="E235" s="6" t="s">
        <x:v>27</x:v>
      </x:c>
      <x:c r="F235" s="6" t="s">
        <x:v>45</x:v>
      </x:c>
      <x:c r="G235" s="7" t="s">
        <x:v>647</x:v>
      </x:c>
      <x:c r="H235" s="8" t="s">
        <x:v>24</x:v>
      </x:c>
      <x:c r="I235" s="8" t="s">
        <x:v>45</x:v>
      </x:c>
      <x:c r="J235" s="8" t="s">
        <x:v>51</x:v>
      </x:c>
      <x:c r="K235" s="9" t="s">
        <x:v>731</x:v>
      </x:c>
      <x:c r="L235" s="8" t="str">
        <x:v>FALSE</x:v>
      </x:c>
      <x:c r="M235" s="8" t="str">
        <x:v>claude_draft</x:v>
      </x:c>
      <x:c r="N235" s="10" t="n">
        <x:f aca="0">IF(E235=H235,1,0)</x:f>
        <x:v>0</x:v>
      </x:c>
      <x:c r="O235" s="10" t="n">
        <x:f aca="0">IF(F235=I235,1,0)</x:f>
        <x:v>1</x:v>
      </x:c>
    </x:row>
    <x:row r="236" ht="23.850000381469727" hidden="0">
      <x:c r="A236" s="6" t="n">
        <x:v>235</x:v>
      </x:c>
      <x:c r="B236" s="6" t="n">
        <x:v>779504</x:v>
      </x:c>
      <x:c r="C236" s="6" t="s">
        <x:v>732</x:v>
      </x:c>
      <x:c r="D236" s="7" t="s">
        <x:v>733</x:v>
      </x:c>
      <x:c r="E236" s="6" t="s">
        <x:v>27</x:v>
      </x:c>
      <x:c r="F236" s="6" t="s">
        <x:v>45</x:v>
      </x:c>
      <x:c r="G236" s="7" t="s">
        <x:v>647</x:v>
      </x:c>
      <x:c r="H236" s="8" t="s">
        <x:v>27</x:v>
      </x:c>
      <x:c r="I236" s="8" t="s">
        <x:v>45</x:v>
      </x:c>
      <x:c r="J236" s="8" t="s">
        <x:v>100</x:v>
      </x:c>
      <x:c r="K236" s="9" t="s">
        <x:v>734</x:v>
      </x:c>
      <x:c r="L236" s="8" t="str">
        <x:v>TRUE</x:v>
      </x:c>
      <x:c r="M236" s="8" t="str">
        <x:v>claude_draft</x:v>
      </x:c>
      <x:c r="N236" s="10" t="n">
        <x:f aca="0">IF(E236=H236,1,0)</x:f>
        <x:v>1</x:v>
      </x:c>
      <x:c r="O236" s="10" t="n">
        <x:f aca="0">IF(F236=I236,1,0)</x:f>
        <x:v>1</x:v>
      </x:c>
    </x:row>
    <x:row r="237" ht="23.850000381469727" hidden="0">
      <x:c r="A237" s="6" t="n">
        <x:v>236</x:v>
      </x:c>
      <x:c r="B237" s="6" t="n">
        <x:v>283981</x:v>
      </x:c>
      <x:c r="C237" s="6" t="s">
        <x:v>735</x:v>
      </x:c>
      <x:c r="D237" s="7" t="s">
        <x:v>736</x:v>
      </x:c>
      <x:c r="E237" s="6" t="s">
        <x:v>27</x:v>
      </x:c>
      <x:c r="F237" s="6" t="s">
        <x:v>45</x:v>
      </x:c>
      <x:c r="G237" s="7" t="s">
        <x:v>647</x:v>
      </x:c>
      <x:c r="H237" s="8" t="s">
        <x:v>27</x:v>
      </x:c>
      <x:c r="I237" s="8" t="s">
        <x:v>45</x:v>
      </x:c>
      <x:c r="J237" s="8" t="s">
        <x:v>100</x:v>
      </x:c>
      <x:c r="K237" s="9" t="s">
        <x:v>408</x:v>
      </x:c>
      <x:c r="L237" s="8" t="str">
        <x:v>FALSE</x:v>
      </x:c>
      <x:c r="M237" s="8" t="str">
        <x:v>GPT-5.6</x:v>
      </x:c>
      <x:c r="N237" s="10" t="n">
        <x:f aca="0">IF(E237=H237,1,0)</x:f>
        <x:v>1</x:v>
      </x:c>
      <x:c r="O237" s="10" t="n">
        <x:f aca="0">IF(F237=I237,1,0)</x:f>
        <x:v>1</x:v>
      </x:c>
    </x:row>
    <x:row r="238" ht="35.04999923706055" hidden="0">
      <x:c r="A238" s="6" t="n">
        <x:v>237</x:v>
      </x:c>
      <x:c r="B238" s="6" t="n">
        <x:v>780562</x:v>
      </x:c>
      <x:c r="C238" s="6" t="s">
        <x:v>737</x:v>
      </x:c>
      <x:c r="D238" s="7" t="s">
        <x:v>738</x:v>
      </x:c>
      <x:c r="E238" s="6" t="s">
        <x:v>27</x:v>
      </x:c>
      <x:c r="F238" s="6" t="s">
        <x:v>45</x:v>
      </x:c>
      <x:c r="G238" s="7" t="s">
        <x:v>647</x:v>
      </x:c>
      <x:c r="H238" s="8" t="s">
        <x:v>24</x:v>
      </x:c>
      <x:c r="I238" s="8" t="s">
        <x:v>45</x:v>
      </x:c>
      <x:c r="J238" s="8" t="s">
        <x:v>51</x:v>
      </x:c>
      <x:c r="K238" s="9" t="s">
        <x:v>739</x:v>
      </x:c>
      <x:c r="L238" s="8" t="str">
        <x:v>FALSE</x:v>
      </x:c>
      <x:c r="M238" s="8" t="str">
        <x:v>claude_draft</x:v>
      </x:c>
      <x:c r="N238" s="10" t="n">
        <x:f aca="0">IF(E238=H238,1,0)</x:f>
        <x:v>0</x:v>
      </x:c>
      <x:c r="O238" s="10" t="n">
        <x:f aca="0">IF(F238=I238,1,0)</x:f>
        <x:v>1</x:v>
      </x:c>
    </x:row>
    <x:row r="239" ht="23.850000381469727" hidden="0">
      <x:c r="A239" s="6" t="n">
        <x:v>238</x:v>
      </x:c>
      <x:c r="B239" s="6" t="n">
        <x:v>582638</x:v>
      </x:c>
      <x:c r="C239" s="6" t="s">
        <x:v>740</x:v>
      </x:c>
      <x:c r="D239" s="7" t="s">
        <x:v>741</x:v>
      </x:c>
      <x:c r="E239" s="6" t="s">
        <x:v>27</x:v>
      </x:c>
      <x:c r="F239" s="6" t="s">
        <x:v>45</x:v>
      </x:c>
      <x:c r="G239" s="7" t="s">
        <x:v>647</x:v>
      </x:c>
      <x:c r="H239" s="8" t="s">
        <x:v>27</x:v>
      </x:c>
      <x:c r="I239" s="8" t="s">
        <x:v>45</x:v>
      </x:c>
      <x:c r="J239" s="8" t="s">
        <x:v>100</x:v>
      </x:c>
      <x:c r="K239" s="9" t="s">
        <x:v>408</x:v>
      </x:c>
      <x:c r="L239" s="8" t="str">
        <x:v>TRUE</x:v>
      </x:c>
      <x:c r="M239" s="8" t="str">
        <x:v>claude_draft</x:v>
      </x:c>
      <x:c r="N239" s="10" t="n">
        <x:f aca="0">IF(E239=H239,1,0)</x:f>
        <x:v>1</x:v>
      </x:c>
      <x:c r="O239" s="10" t="n">
        <x:f aca="0">IF(F239=I239,1,0)</x:f>
        <x:v>1</x:v>
      </x:c>
    </x:row>
    <x:row r="240" ht="23.850000381469727" hidden="0">
      <x:c r="A240" s="6" t="n">
        <x:v>239</x:v>
      </x:c>
      <x:c r="B240" s="6" t="n">
        <x:v>457681</x:v>
      </x:c>
      <x:c r="C240" s="6" t="s">
        <x:v>742</x:v>
      </x:c>
      <x:c r="D240" s="7" t="s">
        <x:v>743</x:v>
      </x:c>
      <x:c r="E240" s="6" t="s">
        <x:v>27</x:v>
      </x:c>
      <x:c r="F240" s="6" t="s">
        <x:v>45</x:v>
      </x:c>
      <x:c r="G240" s="7" t="s">
        <x:v>647</x:v>
      </x:c>
      <x:c r="H240" s="8" t="s">
        <x:v>27</x:v>
      </x:c>
      <x:c r="I240" s="8" t="s">
        <x:v>58</x:v>
      </x:c>
      <x:c r="J240" s="8" t="s">
        <x:v>47</x:v>
      </x:c>
      <x:c r="K240" s="9" t="s">
        <x:v>744</x:v>
      </x:c>
      <x:c r="L240" s="8" t="str">
        <x:v>FALSE</x:v>
      </x:c>
      <x:c r="M240" s="8" t="str">
        <x:v>GPT-5.6</x:v>
      </x:c>
      <x:c r="N240" s="10" t="n">
        <x:f aca="0">IF(E240=H240,1,0)</x:f>
        <x:v>1</x:v>
      </x:c>
      <x:c r="O240" s="10" t="n">
        <x:f aca="0">IF(F240=I240,1,0)</x:f>
        <x:v>0</x:v>
      </x:c>
    </x:row>
    <x:row r="241" ht="23.850000381469727" hidden="0">
      <x:c r="A241" s="6" t="n">
        <x:v>240</x:v>
      </x:c>
      <x:c r="B241" s="6" t="n">
        <x:v>437341</x:v>
      </x:c>
      <x:c r="C241" s="6" t="s">
        <x:v>745</x:v>
      </x:c>
      <x:c r="D241" s="7" t="s">
        <x:v>746</x:v>
      </x:c>
      <x:c r="E241" s="6" t="s">
        <x:v>27</x:v>
      </x:c>
      <x:c r="F241" s="6" t="s">
        <x:v>45</x:v>
      </x:c>
      <x:c r="G241" s="7" t="s">
        <x:v>647</x:v>
      </x:c>
      <x:c r="H241" s="8" t="s">
        <x:v>27</x:v>
      </x:c>
      <x:c r="I241" s="8" t="s">
        <x:v>58</x:v>
      </x:c>
      <x:c r="J241" s="8" t="s">
        <x:v>51</x:v>
      </x:c>
      <x:c r="K241" s="9" t="s">
        <x:v>747</x:v>
      </x:c>
      <x:c r="L241" s="8" t="str">
        <x:v>FALSE</x:v>
      </x:c>
      <x:c r="M241" s="8" t="str">
        <x:v>claude_draft</x:v>
      </x:c>
      <x:c r="N241" s="10" t="n">
        <x:f aca="0">IF(E241=H241,1,0)</x:f>
        <x:v>1</x:v>
      </x:c>
      <x:c r="O241" s="10" t="n">
        <x:f aca="0">IF(F241=I241,1,0)</x:f>
        <x:v>0</x:v>
      </x:c>
    </x:row>
    <x:row r="242" ht="23.850000381469727" hidden="0">
      <x:c r="A242" s="6" t="n">
        <x:v>241</x:v>
      </x:c>
      <x:c r="B242" s="6" t="n">
        <x:v>562908</x:v>
      </x:c>
      <x:c r="C242" s="6" t="s">
        <x:v>748</x:v>
      </x:c>
      <x:c r="D242" s="7" t="s">
        <x:v>749</x:v>
      </x:c>
      <x:c r="E242" s="6" t="s">
        <x:v>27</x:v>
      </x:c>
      <x:c r="F242" s="6" t="s">
        <x:v>45</x:v>
      </x:c>
      <x:c r="G242" s="7" t="s">
        <x:v>647</x:v>
      </x:c>
      <x:c r="H242" s="8" t="s">
        <x:v>27</x:v>
      </x:c>
      <x:c r="I242" s="8" t="s">
        <x:v>45</x:v>
      </x:c>
      <x:c r="J242" s="8" t="s">
        <x:v>51</x:v>
      </x:c>
      <x:c r="K242" s="9" t="s">
        <x:v>750</x:v>
      </x:c>
      <x:c r="L242" s="8" t="str">
        <x:v>FALSE</x:v>
      </x:c>
      <x:c r="M242" s="8" t="str">
        <x:v>claude_draft</x:v>
      </x:c>
      <x:c r="N242" s="10" t="n">
        <x:f aca="0">IF(E242=H242,1,0)</x:f>
        <x:v>1</x:v>
      </x:c>
      <x:c r="O242" s="10" t="n">
        <x:f aca="0">IF(F242=I242,1,0)</x:f>
        <x:v>1</x:v>
      </x:c>
    </x:row>
    <x:row r="243" ht="23.850000381469727" hidden="0">
      <x:c r="A243" s="6" t="n">
        <x:v>242</x:v>
      </x:c>
      <x:c r="B243" s="6" t="n">
        <x:v>29522</x:v>
      </x:c>
      <x:c r="C243" s="6" t="s">
        <x:v>751</x:v>
      </x:c>
      <x:c r="D243" s="7" t="s">
        <x:v>752</x:v>
      </x:c>
      <x:c r="E243" s="6" t="s">
        <x:v>27</x:v>
      </x:c>
      <x:c r="F243" s="6" t="s">
        <x:v>45</x:v>
      </x:c>
      <x:c r="G243" s="7" t="s">
        <x:v>647</x:v>
      </x:c>
      <x:c r="H243" s="8" t="s">
        <x:v>27</x:v>
      </x:c>
      <x:c r="I243" s="8" t="s">
        <x:v>45</x:v>
      </x:c>
      <x:c r="J243" s="8" t="s">
        <x:v>51</x:v>
      </x:c>
      <x:c r="K243" s="9" t="s">
        <x:v>753</x:v>
      </x:c>
      <x:c r="L243" s="8" t="str">
        <x:v>FALSE</x:v>
      </x:c>
      <x:c r="M243" s="8" t="str">
        <x:v>claude_draft</x:v>
      </x:c>
      <x:c r="N243" s="10" t="n">
        <x:f aca="0">IF(E243=H243,1,0)</x:f>
        <x:v>1</x:v>
      </x:c>
      <x:c r="O243" s="10" t="n">
        <x:f aca="0">IF(F243=I243,1,0)</x:f>
        <x:v>1</x:v>
      </x:c>
    </x:row>
    <x:row r="244" ht="23.850000381469727" hidden="0">
      <x:c r="A244" s="6" t="n">
        <x:v>243</x:v>
      </x:c>
      <x:c r="B244" s="6" t="n">
        <x:v>322005</x:v>
      </x:c>
      <x:c r="C244" s="6" t="s">
        <x:v>754</x:v>
      </x:c>
      <x:c r="D244" s="7" t="s">
        <x:v>755</x:v>
      </x:c>
      <x:c r="E244" s="6" t="s">
        <x:v>27</x:v>
      </x:c>
      <x:c r="F244" s="6" t="s">
        <x:v>45</x:v>
      </x:c>
      <x:c r="G244" s="7" t="s">
        <x:v>647</x:v>
      </x:c>
      <x:c r="H244" s="8" t="s">
        <x:v>27</x:v>
      </x:c>
      <x:c r="I244" s="8" t="s">
        <x:v>45</x:v>
      </x:c>
      <x:c r="J244" s="8" t="s">
        <x:v>47</x:v>
      </x:c>
      <x:c r="K244" s="9" t="s">
        <x:v>756</x:v>
      </x:c>
      <x:c r="L244" s="8" t="str">
        <x:v>FALSE</x:v>
      </x:c>
      <x:c r="M244" s="8" t="str">
        <x:v>GPT-5.6</x:v>
      </x:c>
      <x:c r="N244" s="10" t="n">
        <x:f aca="0">IF(E244=H244,1,0)</x:f>
        <x:v>1</x:v>
      </x:c>
      <x:c r="O244" s="10" t="n">
        <x:f aca="0">IF(F244=I244,1,0)</x:f>
        <x:v>1</x:v>
      </x:c>
    </x:row>
    <x:row r="245" ht="35.04999923706055" hidden="0">
      <x:c r="A245" s="6" t="n">
        <x:v>244</x:v>
      </x:c>
      <x:c r="B245" s="6" t="n">
        <x:v>232686</x:v>
      </x:c>
      <x:c r="C245" s="6" t="s">
        <x:v>757</x:v>
      </x:c>
      <x:c r="D245" s="7" t="s">
        <x:v>758</x:v>
      </x:c>
      <x:c r="E245" s="6" t="s">
        <x:v>27</x:v>
      </x:c>
      <x:c r="F245" s="6" t="s">
        <x:v>45</x:v>
      </x:c>
      <x:c r="G245" s="7" t="s">
        <x:v>647</x:v>
      </x:c>
      <x:c r="H245" s="8" t="s">
        <x:v>24</x:v>
      </x:c>
      <x:c r="I245" s="8" t="s">
        <x:v>45</x:v>
      </x:c>
      <x:c r="J245" s="8" t="s">
        <x:v>51</x:v>
      </x:c>
      <x:c r="K245" s="9" t="s">
        <x:v>759</x:v>
      </x:c>
      <x:c r="L245" s="8" t="str">
        <x:v>FALSE</x:v>
      </x:c>
      <x:c r="M245" s="8" t="str">
        <x:v>claude_draft</x:v>
      </x:c>
      <x:c r="N245" s="10" t="n">
        <x:f aca="0">IF(E245=H245,1,0)</x:f>
        <x:v>0</x:v>
      </x:c>
      <x:c r="O245" s="10" t="n">
        <x:f aca="0">IF(F245=I245,1,0)</x:f>
        <x:v>1</x:v>
      </x:c>
    </x:row>
    <x:row r="246" ht="23.850000381469727" hidden="0">
      <x:c r="A246" s="6" t="n">
        <x:v>245</x:v>
      </x:c>
      <x:c r="B246" s="6" t="n">
        <x:v>395487</x:v>
      </x:c>
      <x:c r="C246" s="6" t="s">
        <x:v>760</x:v>
      </x:c>
      <x:c r="D246" s="7" t="s">
        <x:v>761</x:v>
      </x:c>
      <x:c r="E246" s="6" t="s">
        <x:v>27</x:v>
      </x:c>
      <x:c r="F246" s="6" t="s">
        <x:v>45</x:v>
      </x:c>
      <x:c r="G246" s="7" t="s">
        <x:v>647</x:v>
      </x:c>
      <x:c r="H246" s="8" t="str">
        <x:v>account_prime</x:v>
      </x:c>
      <x:c r="I246" s="8" t="str">
        <x:v>escalate</x:v>
      </x:c>
      <x:c r="J246" s="8" t="str">
        <x:v>MEDIUM</x:v>
      </x:c>
      <x:c r="K246" s="9" t="str">
        <x:v>Security access-code problem; security/account issues require escalation</x:v>
      </x:c>
      <x:c r="L246" s="8" t="str">
        <x:v>FALSE</x:v>
      </x:c>
      <x:c r="M246" s="8" t="str">
        <x:v>GPT-5.6</x:v>
      </x:c>
      <x:c r="N246" s="10" t="n">
        <x:f aca="0">IF(E246=H246,1,0)</x:f>
        <x:v>0</x:v>
      </x:c>
      <x:c r="O246" s="10" t="n">
        <x:f aca="0">IF(F246=I246,1,0)</x:f>
        <x:v>0</x:v>
      </x:c>
    </x:row>
    <x:row r="247" ht="23.850000381469727" hidden="0">
      <x:c r="A247" s="6" t="n">
        <x:v>246</x:v>
      </x:c>
      <x:c r="B247" s="6" t="n">
        <x:v>122034</x:v>
      </x:c>
      <x:c r="C247" s="6" t="s">
        <x:v>762</x:v>
      </x:c>
      <x:c r="D247" s="7" t="s">
        <x:v>763</x:v>
      </x:c>
      <x:c r="E247" s="6" t="s">
        <x:v>27</x:v>
      </x:c>
      <x:c r="F247" s="6" t="s">
        <x:v>45</x:v>
      </x:c>
      <x:c r="G247" s="7" t="s">
        <x:v>647</x:v>
      </x:c>
      <x:c r="H247" s="8" t="s">
        <x:v>27</x:v>
      </x:c>
      <x:c r="I247" s="8" t="s">
        <x:v>45</x:v>
      </x:c>
      <x:c r="J247" s="8" t="s">
        <x:v>51</x:v>
      </x:c>
      <x:c r="K247" s="9" t="s">
        <x:v>764</x:v>
      </x:c>
      <x:c r="L247" s="8" t="str">
        <x:v>FALSE</x:v>
      </x:c>
      <x:c r="M247" s="8" t="str">
        <x:v>claude_draft</x:v>
      </x:c>
      <x:c r="N247" s="10" t="n">
        <x:f aca="0">IF(E247=H247,1,0)</x:f>
        <x:v>1</x:v>
      </x:c>
      <x:c r="O247" s="10" t="n">
        <x:f aca="0">IF(F247=I247,1,0)</x:f>
        <x:v>1</x:v>
      </x:c>
    </x:row>
    <x:row r="248" ht="23.850000381469727" hidden="0">
      <x:c r="A248" s="6" t="n">
        <x:v>247</x:v>
      </x:c>
      <x:c r="B248" s="6" t="n">
        <x:v>319414</x:v>
      </x:c>
      <x:c r="C248" s="6" t="s">
        <x:v>765</x:v>
      </x:c>
      <x:c r="D248" s="7" t="s">
        <x:v>766</x:v>
      </x:c>
      <x:c r="E248" s="6" t="s">
        <x:v>27</x:v>
      </x:c>
      <x:c r="F248" s="6" t="s">
        <x:v>45</x:v>
      </x:c>
      <x:c r="G248" s="7" t="s">
        <x:v>647</x:v>
      </x:c>
      <x:c r="H248" s="8" t="s">
        <x:v>27</x:v>
      </x:c>
      <x:c r="I248" s="8" t="s">
        <x:v>45</x:v>
      </x:c>
      <x:c r="J248" s="8" t="s">
        <x:v>47</x:v>
      </x:c>
      <x:c r="K248" s="9" t="s">
        <x:v>767</x:v>
      </x:c>
      <x:c r="L248" s="8" t="str">
        <x:v>FALSE</x:v>
      </x:c>
      <x:c r="M248" s="8" t="str">
        <x:v>GPT-5.6</x:v>
      </x:c>
      <x:c r="N248" s="10" t="n">
        <x:f aca="0">IF(E248=H248,1,0)</x:f>
        <x:v>1</x:v>
      </x:c>
      <x:c r="O248" s="10" t="n">
        <x:f aca="0">IF(F248=I248,1,0)</x:f>
        <x:v>1</x:v>
      </x:c>
    </x:row>
    <x:row r="249" ht="23.850000381469727" hidden="0">
      <x:c r="A249" s="6" t="n">
        <x:v>248</x:v>
      </x:c>
      <x:c r="B249" s="6" t="n">
        <x:v>256705</x:v>
      </x:c>
      <x:c r="C249" s="6" t="s">
        <x:v>768</x:v>
      </x:c>
      <x:c r="D249" s="7" t="s">
        <x:v>769</x:v>
      </x:c>
      <x:c r="E249" s="6" t="s">
        <x:v>27</x:v>
      </x:c>
      <x:c r="F249" s="6" t="s">
        <x:v>45</x:v>
      </x:c>
      <x:c r="G249" s="7" t="s">
        <x:v>647</x:v>
      </x:c>
      <x:c r="H249" s="8" t="s">
        <x:v>22</x:v>
      </x:c>
      <x:c r="I249" s="8" t="s">
        <x:v>58</x:v>
      </x:c>
      <x:c r="J249" s="8" t="s">
        <x:v>51</x:v>
      </x:c>
      <x:c r="K249" s="9" t="s">
        <x:v>770</x:v>
      </x:c>
      <x:c r="L249" s="8" t="str">
        <x:v>FALSE</x:v>
      </x:c>
      <x:c r="M249" s="8" t="str">
        <x:v>claude_draft</x:v>
      </x:c>
      <x:c r="N249" s="10" t="n">
        <x:f aca="0">IF(E249=H249,1,0)</x:f>
        <x:v>0</x:v>
      </x:c>
      <x:c r="O249" s="10" t="n">
        <x:f aca="0">IF(F249=I249,1,0)</x:f>
        <x:v>0</x:v>
      </x:c>
    </x:row>
    <x:row r="250" ht="23.850000381469727" hidden="0">
      <x:c r="A250" s="6" t="n">
        <x:v>249</x:v>
      </x:c>
      <x:c r="B250" s="6" t="n">
        <x:v>150633</x:v>
      </x:c>
      <x:c r="C250" s="6" t="s">
        <x:v>771</x:v>
      </x:c>
      <x:c r="D250" s="7" t="s">
        <x:v>772</x:v>
      </x:c>
      <x:c r="E250" s="6" t="s">
        <x:v>27</x:v>
      </x:c>
      <x:c r="F250" s="6" t="s">
        <x:v>45</x:v>
      </x:c>
      <x:c r="G250" s="7" t="s">
        <x:v>647</x:v>
      </x:c>
      <x:c r="H250" s="8" t="s">
        <x:v>27</x:v>
      </x:c>
      <x:c r="I250" s="8" t="s">
        <x:v>45</x:v>
      </x:c>
      <x:c r="J250" s="8" t="s">
        <x:v>51</x:v>
      </x:c>
      <x:c r="K250" s="9" t="s">
        <x:v>773</x:v>
      </x:c>
      <x:c r="L250" s="8" t="str">
        <x:v>FALSE</x:v>
      </x:c>
      <x:c r="M250" s="8" t="str">
        <x:v>claude_draft</x:v>
      </x:c>
      <x:c r="N250" s="10" t="n">
        <x:f aca="0">IF(E250=H250,1,0)</x:f>
        <x:v>1</x:v>
      </x:c>
      <x:c r="O250" s="10" t="n">
        <x:f aca="0">IF(F250=I250,1,0)</x:f>
        <x:v>1</x:v>
      </x:c>
    </x:row>
    <x:row r="251" ht="35.04999923706055" hidden="0">
      <x:c r="A251" s="6" t="n">
        <x:v>250</x:v>
      </x:c>
      <x:c r="B251" s="6" t="n">
        <x:v>304425</x:v>
      </x:c>
      <x:c r="C251" s="6" t="s">
        <x:v>774</x:v>
      </x:c>
      <x:c r="D251" s="7" t="s">
        <x:v>775</x:v>
      </x:c>
      <x:c r="E251" s="6" t="s">
        <x:v>27</x:v>
      </x:c>
      <x:c r="F251" s="6" t="s">
        <x:v>45</x:v>
      </x:c>
      <x:c r="G251" s="7" t="s">
        <x:v>647</x:v>
      </x:c>
      <x:c r="H251" s="8" t="s">
        <x:v>27</x:v>
      </x:c>
      <x:c r="I251" s="8" t="s">
        <x:v>45</x:v>
      </x:c>
      <x:c r="J251" s="8" t="s">
        <x:v>51</x:v>
      </x:c>
      <x:c r="K251" s="9" t="s">
        <x:v>776</x:v>
      </x:c>
      <x:c r="L251" s="8" t="str">
        <x:v>FALSE</x:v>
      </x:c>
      <x:c r="M251" s="8" t="str">
        <x:v>claude_draft</x:v>
      </x:c>
      <x:c r="N251" s="10" t="n">
        <x:f aca="0">IF(E251=H251,1,0)</x:f>
        <x:v>1</x:v>
      </x:c>
      <x:c r="O251" s="10" t="n">
        <x:f aca="0">IF(F251=I251,1,0)</x:f>
        <x:v>1</x:v>
      </x:c>
    </x:row>
  </x:sheetData>
  <x:conditionalFormatting sqref="N2:O251">
    <x:cfRule type="expression" dxfId="5" priority="2" aboveAverage="0" percent="0" bottom="0" rank="0" equalAverage="0">
      <x:formula>N2=0</x:formula>
    </x:cfRule>
  </x:conditionalFormatting>
  <x:dataValidations count="3">
    <x:dataValidation type="list" errorStyle="stop" operator="between" allowBlank="0" showDropDown="0" showInputMessage="0" showErrorMessage="0" sqref="H2:H251">
      <x:formula1>"shipping_inquiry,delivery_failed,return_refund,product_quality,cancel_modify,account_prime,other"</x:formula1>
      <x:formula2>0</x:formula2>
    </x:dataValidation>
    <x:dataValidation type="list" errorStyle="stop" operator="between" allowBlank="0" showDropDown="0" showInputMessage="0" showErrorMessage="0" sqref="I2:I251">
      <x:formula1>"auto,escalate"</x:formula1>
      <x:formula2>0</x:formula2>
    </x:dataValidation>
    <x:dataValidation type="list" errorStyle="stop" operator="between" allowBlank="0" showDropDown="0" showInputMessage="0" showErrorMessage="0" sqref="J2:J251">
      <x:formula1>"HIGH,MEDIUM,LOW"</x:formula1>
      <x:formula2>0</x:formula2>
    </x:dataValidation>
  </x:dataValidations>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ColWidth="8.6796875" defaultRowHeight="15"/>
  <x:cols>
    <x:col min="1" max="1" width="24" hidden="0" customWidth="1"/>
    <x:col min="2" max="2" width="110" hidden="0" customWidth="1"/>
  </x:cols>
  <x:sheetData>
    <x:row r="1" ht="15" hidden="0">
      <x:c r="A1" s="11" t="s">
        <x:v>777</x:v>
      </x:c>
      <x:c r="B1" s="11" t="s">
        <x:v>778</x:v>
      </x:c>
    </x:row>
    <x:row r="2" ht="15" hidden="0">
      <x:c r="A2" s="2" t="s">
        <x:v>779</x:v>
      </x:c>
      <x:c r="B2" s="7" t="s">
        <x:v>780</x:v>
      </x:c>
    </x:row>
    <x:row r="3" ht="15" hidden="0">
      <x:c r="A3" s="2" t="s">
        <x:v>781</x:v>
      </x:c>
      <x:c r="B3" s="7" t="s">
        <x:v>782</x:v>
      </x:c>
    </x:row>
    <x:row r="4" ht="15" hidden="0">
      <x:c r="A4" s="2" t="s">
        <x:v>21</x:v>
      </x:c>
      <x:c r="B4" s="7" t="s">
        <x:v>783</x:v>
      </x:c>
    </x:row>
    <x:row r="5" ht="23.850000381469727" hidden="0">
      <x:c r="A5" s="2" t="s">
        <x:v>22</x:v>
      </x:c>
      <x:c r="B5" s="7" t="s">
        <x:v>784</x:v>
      </x:c>
    </x:row>
    <x:row r="6" ht="23.850000381469727" hidden="0">
      <x:c r="A6" s="2" t="s">
        <x:v>23</x:v>
      </x:c>
      <x:c r="B6" s="7" t="s">
        <x:v>785</x:v>
      </x:c>
    </x:row>
    <x:row r="7" ht="15" hidden="0">
      <x:c r="A7" s="2" t="s">
        <x:v>24</x:v>
      </x:c>
      <x:c r="B7" s="7" t="s">
        <x:v>786</x:v>
      </x:c>
    </x:row>
    <x:row r="8" ht="15" hidden="0">
      <x:c r="A8" s="2" t="s">
        <x:v>25</x:v>
      </x:c>
      <x:c r="B8" s="7" t="s">
        <x:v>787</x:v>
      </x:c>
    </x:row>
    <x:row r="9" ht="15" hidden="0">
      <x:c r="A9" s="2" t="s">
        <x:v>26</x:v>
      </x:c>
      <x:c r="B9" s="7" t="s">
        <x:v>788</x:v>
      </x:c>
    </x:row>
    <x:row r="10" ht="15" hidden="0">
      <x:c r="A10" s="2" t="s">
        <x:v>27</x:v>
      </x:c>
      <x:c r="B10" s="7" t="s">
        <x:v>789</x:v>
      </x:c>
    </x:row>
    <x:row r="11" ht="23.850000381469727" hidden="0">
      <x:c r="A11" s="2" t="s">
        <x:v>790</x:v>
      </x:c>
      <x:c r="B11" s="7" t="s">
        <x:v>791</x:v>
      </x:c>
    </x:row>
    <x:row r="12" ht="15" hidden="0">
      <x:c r="A12" s="2" t="s">
        <x:v>792</x:v>
      </x:c>
      <x:c r="B12" s="7" t="s">
        <x:v>793</x:v>
      </x:c>
    </x:row>
    <x:row r="13" ht="23.850000381469727" hidden="0">
      <x:c r="A13" s="2" t="s">
        <x:v>794</x:v>
      </x:c>
      <x:c r="B13" s="7" t="s">
        <x:v>795</x:v>
      </x:c>
    </x:row>
  </x:sheetData>
  <x:pageMargins left="0.7" right="0.7" top="0.75" bottom="0.75" header="0.3" footer="0.3"/>
</x:worksheet>
</file>